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aulo.cefraga\Desktop\Valmet Difusores\Valmet\Avaliações\"/>
    </mc:Choice>
  </mc:AlternateContent>
  <xr:revisionPtr revIDLastSave="0" documentId="13_ncr:1_{591B026B-9F30-4A6C-8A11-B4E863E90C58}" xr6:coauthVersionLast="47" xr6:coauthVersionMax="47" xr10:uidLastSave="{00000000-0000-0000-0000-000000000000}"/>
  <workbookProtection workbookAlgorithmName="SHA-512" workbookHashValue="LHeBh2TWqmVZXVE1d9x2V3c2EXuagkx1Ng+stf4RighdBhpBtb6/h9c53bUAl5OxQqP7MB5hKmUX/m0LQHUaQQ==" workbookSaltValue="KsTXOUU1mPEfV8Qt0Xn5SQ==" workbookSpinCount="100000" lockStructure="1"/>
  <bookViews>
    <workbookView xWindow="-28908" yWindow="780" windowWidth="29016" windowHeight="15696" tabRatio="921" activeTab="16" xr2:uid="{00000000-000D-0000-FFFF-FFFF00000000}"/>
  </bookViews>
  <sheets>
    <sheet name="seg (1)" sheetId="24" r:id="rId1"/>
    <sheet name="ter (1)" sheetId="31" r:id="rId2"/>
    <sheet name="qua (1)" sheetId="33" r:id="rId3"/>
    <sheet name="qui (1)" sheetId="34" r:id="rId4"/>
    <sheet name="sex (1)" sheetId="32" r:id="rId5"/>
    <sheet name="sab (1)" sheetId="29" r:id="rId6"/>
    <sheet name="seg (2)" sheetId="37" r:id="rId7"/>
    <sheet name="ter (2)" sheetId="38" r:id="rId8"/>
    <sheet name="qua (2)" sheetId="39" r:id="rId9"/>
    <sheet name="qui (2)" sheetId="40" r:id="rId10"/>
    <sheet name="sex (2)" sheetId="41" r:id="rId11"/>
    <sheet name="sab (2)" sheetId="42" r:id="rId12"/>
    <sheet name="seg (3)" sheetId="44" r:id="rId13"/>
    <sheet name="ter (3)" sheetId="45" r:id="rId14"/>
    <sheet name="qua (3)" sheetId="46" r:id="rId15"/>
    <sheet name="qui (3)" sheetId="47" r:id="rId16"/>
    <sheet name="sex (3)" sheetId="48" r:id="rId17"/>
    <sheet name="sab (3)" sheetId="49" r:id="rId18"/>
    <sheet name="seg (4)" sheetId="50" r:id="rId19"/>
    <sheet name="ter (4)" sheetId="51" r:id="rId20"/>
    <sheet name="qua (4)" sheetId="52" r:id="rId21"/>
    <sheet name="qui (4)" sheetId="53" r:id="rId22"/>
    <sheet name="sex (4)" sheetId="54" r:id="rId23"/>
    <sheet name="sab (4)" sheetId="55" r:id="rId24"/>
    <sheet name="seg (5)" sheetId="56" r:id="rId25"/>
    <sheet name="ter (5)" sheetId="57" r:id="rId26"/>
    <sheet name="qua (5)" sheetId="58" r:id="rId27"/>
    <sheet name="qui (5)" sheetId="59" r:id="rId28"/>
    <sheet name="sex (5)" sheetId="60" r:id="rId29"/>
    <sheet name="sab (5)" sheetId="61" r:id="rId30"/>
    <sheet name="Dados" sheetId="14" r:id="rId31"/>
    <sheet name="Dados Relatório Mensal" sheetId="35" r:id="rId32"/>
    <sheet name="Relatório IPF" sheetId="36" r:id="rId33"/>
  </sheets>
  <definedNames>
    <definedName name="_xlnm._FilterDatabase" localSheetId="31" hidden="1">'Dados Relatório Mensal'!#REF!</definedName>
    <definedName name="_xlnm._FilterDatabase" localSheetId="2" hidden="1">'qua (1)'!$A$6:$H$36</definedName>
    <definedName name="_xlnm._FilterDatabase" localSheetId="8" hidden="1">'qua (2)'!$A$6:$H$36</definedName>
    <definedName name="_xlnm._FilterDatabase" localSheetId="14" hidden="1">'qua (3)'!$A$6:$H$36</definedName>
    <definedName name="_xlnm._FilterDatabase" localSheetId="20" hidden="1">'qua (4)'!$A$6:$H$36</definedName>
    <definedName name="_xlnm._FilterDatabase" localSheetId="26" hidden="1">'qua (5)'!$A$6:$H$36</definedName>
    <definedName name="_xlnm._FilterDatabase" localSheetId="3" hidden="1">'qui (1)'!$A$6:$H$36</definedName>
    <definedName name="_xlnm._FilterDatabase" localSheetId="9" hidden="1">'qui (2)'!$A$6:$H$36</definedName>
    <definedName name="_xlnm._FilterDatabase" localSheetId="15" hidden="1">'qui (3)'!$A$6:$H$36</definedName>
    <definedName name="_xlnm._FilterDatabase" localSheetId="21" hidden="1">'qui (4)'!$A$6:$H$36</definedName>
    <definedName name="_xlnm._FilterDatabase" localSheetId="27" hidden="1">'qui (5)'!$A$6:$H$36</definedName>
    <definedName name="_xlnm._FilterDatabase" localSheetId="5" hidden="1">'sab (1)'!$A$6:$H$36</definedName>
    <definedName name="_xlnm._FilterDatabase" localSheetId="11" hidden="1">'sab (2)'!$A$6:$H$36</definedName>
    <definedName name="_xlnm._FilterDatabase" localSheetId="17" hidden="1">'sab (3)'!$A$6:$H$36</definedName>
    <definedName name="_xlnm._FilterDatabase" localSheetId="23" hidden="1">'sab (4)'!$A$6:$H$36</definedName>
    <definedName name="_xlnm._FilterDatabase" localSheetId="29" hidden="1">'sab (5)'!$A$6:$H$36</definedName>
    <definedName name="_xlnm._FilterDatabase" localSheetId="0" hidden="1">'seg (1)'!$A$6:$H$36</definedName>
    <definedName name="_xlnm._FilterDatabase" localSheetId="6" hidden="1">'seg (2)'!$A$6:$H$36</definedName>
    <definedName name="_xlnm._FilterDatabase" localSheetId="12" hidden="1">'seg (3)'!$A$6:$H$36</definedName>
    <definedName name="_xlnm._FilterDatabase" localSheetId="18" hidden="1">'seg (4)'!$A$6:$H$36</definedName>
    <definedName name="_xlnm._FilterDatabase" localSheetId="24" hidden="1">'seg (5)'!$A$6:$H$36</definedName>
    <definedName name="_xlnm._FilterDatabase" localSheetId="4" hidden="1">'sex (1)'!$A$6:$H$36</definedName>
    <definedName name="_xlnm._FilterDatabase" localSheetId="10" hidden="1">'sex (2)'!$A$6:$H$36</definedName>
    <definedName name="_xlnm._FilterDatabase" localSheetId="16" hidden="1">'sex (3)'!$A$6:$H$36</definedName>
    <definedName name="_xlnm._FilterDatabase" localSheetId="22" hidden="1">'sex (4)'!$A$6:$H$36</definedName>
    <definedName name="_xlnm._FilterDatabase" localSheetId="28" hidden="1">'sex (5)'!$A$6:$H$36</definedName>
    <definedName name="_xlnm._FilterDatabase" localSheetId="1" hidden="1">'ter (1)'!$A$6:$H$36</definedName>
    <definedName name="_xlnm._FilterDatabase" localSheetId="7" hidden="1">'ter (2)'!$A$6:$H$36</definedName>
    <definedName name="_xlnm._FilterDatabase" localSheetId="13" hidden="1">'ter (3)'!$A$6:$H$36</definedName>
    <definedName name="_xlnm._FilterDatabase" localSheetId="19" hidden="1">'ter (4)'!$A$6:$H$36</definedName>
    <definedName name="_xlnm._FilterDatabase" localSheetId="25" hidden="1">'ter (5)'!$A$6:$H$36</definedName>
    <definedName name="_xlnm.Print_Area" localSheetId="31">'Dados Relatório Mensal'!$B$2:$I$7</definedName>
    <definedName name="_xlnm.Print_Area" localSheetId="2">'qua (1)'!$A$1:$H$75</definedName>
    <definedName name="_xlnm.Print_Area" localSheetId="8">'qua (2)'!$A$1:$H$75</definedName>
    <definedName name="_xlnm.Print_Area" localSheetId="14">'qua (3)'!$A$1:$H$75</definedName>
    <definedName name="_xlnm.Print_Area" localSheetId="20">'qua (4)'!$A$1:$H$75</definedName>
    <definedName name="_xlnm.Print_Area" localSheetId="26">'qua (5)'!$A$1:$H$75</definedName>
    <definedName name="_xlnm.Print_Area" localSheetId="3">'qui (1)'!$A$1:$H$75</definedName>
    <definedName name="_xlnm.Print_Area" localSheetId="9">'qui (2)'!$A$1:$H$75</definedName>
    <definedName name="_xlnm.Print_Area" localSheetId="15">'qui (3)'!$A$1:$H$75</definedName>
    <definedName name="_xlnm.Print_Area" localSheetId="21">'qui (4)'!$A$1:$H$75</definedName>
    <definedName name="_xlnm.Print_Area" localSheetId="27">'qui (5)'!$A$1:$H$75</definedName>
    <definedName name="_xlnm.Print_Area" localSheetId="32">'Relatório IPF'!$A$2:$J$310</definedName>
    <definedName name="_xlnm.Print_Area" localSheetId="5">'sab (1)'!$A$1:$H$75</definedName>
    <definedName name="_xlnm.Print_Area" localSheetId="11">'sab (2)'!$A$1:$H$75</definedName>
    <definedName name="_xlnm.Print_Area" localSheetId="17">'sab (3)'!$A$1:$H$75</definedName>
    <definedName name="_xlnm.Print_Area" localSheetId="23">'sab (4)'!$A$1:$H$75</definedName>
    <definedName name="_xlnm.Print_Area" localSheetId="29">'sab (5)'!$A$1:$H$75</definedName>
    <definedName name="_xlnm.Print_Area" localSheetId="0">'seg (1)'!$A$1:$H$75</definedName>
    <definedName name="_xlnm.Print_Area" localSheetId="6">'seg (2)'!$A$1:$H$75</definedName>
    <definedName name="_xlnm.Print_Area" localSheetId="12">'seg (3)'!$A$1:$H$75</definedName>
    <definedName name="_xlnm.Print_Area" localSheetId="18">'seg (4)'!$A$1:$H$75</definedName>
    <definedName name="_xlnm.Print_Area" localSheetId="24">'seg (5)'!$A$1:$H$75</definedName>
    <definedName name="_xlnm.Print_Area" localSheetId="4">'sex (1)'!$A$1:$H$75</definedName>
    <definedName name="_xlnm.Print_Area" localSheetId="10">'sex (2)'!$A$1:$H$75</definedName>
    <definedName name="_xlnm.Print_Area" localSheetId="16">'sex (3)'!$A$1:$H$75</definedName>
    <definedName name="_xlnm.Print_Area" localSheetId="22">'sex (4)'!$A$1:$H$75</definedName>
    <definedName name="_xlnm.Print_Area" localSheetId="28">'sex (5)'!$A$1:$H$75</definedName>
    <definedName name="_xlnm.Print_Area" localSheetId="1">'ter (1)'!$A$1:$H$75</definedName>
    <definedName name="_xlnm.Print_Area" localSheetId="7">'ter (2)'!$A$1:$H$75</definedName>
    <definedName name="_xlnm.Print_Area" localSheetId="13">'ter (3)'!$A$1:$H$75</definedName>
    <definedName name="_xlnm.Print_Area" localSheetId="19">'ter (4)'!$A$1:$H$75</definedName>
    <definedName name="_xlnm.Print_Area" localSheetId="25">'ter (5)'!$A$1:$H$75</definedName>
    <definedName name="FOP_FUP_A550">"Gráfico 1"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24" l="1"/>
  <c r="C50" i="61" l="1"/>
  <c r="C45" i="61"/>
  <c r="C40" i="61"/>
  <c r="C35" i="61"/>
  <c r="C29" i="61"/>
  <c r="C17" i="61"/>
  <c r="C50" i="60"/>
  <c r="C45" i="60"/>
  <c r="C40" i="60"/>
  <c r="C35" i="60"/>
  <c r="C29" i="60"/>
  <c r="C17" i="60"/>
  <c r="C50" i="59"/>
  <c r="C45" i="59"/>
  <c r="C40" i="59"/>
  <c r="C35" i="59"/>
  <c r="C29" i="59"/>
  <c r="C17" i="59"/>
  <c r="C50" i="58"/>
  <c r="C45" i="58"/>
  <c r="C40" i="58"/>
  <c r="C35" i="58"/>
  <c r="C29" i="58"/>
  <c r="C17" i="58"/>
  <c r="C50" i="57"/>
  <c r="C45" i="57"/>
  <c r="C40" i="57"/>
  <c r="C35" i="57"/>
  <c r="C29" i="57"/>
  <c r="C17" i="57"/>
  <c r="C50" i="56"/>
  <c r="C45" i="56"/>
  <c r="C40" i="56"/>
  <c r="C35" i="56"/>
  <c r="C29" i="56"/>
  <c r="C17" i="56"/>
  <c r="C50" i="55"/>
  <c r="C45" i="55"/>
  <c r="C40" i="55"/>
  <c r="C35" i="55"/>
  <c r="C29" i="55"/>
  <c r="C17" i="55"/>
  <c r="C50" i="54"/>
  <c r="C45" i="54"/>
  <c r="C40" i="54"/>
  <c r="C35" i="54"/>
  <c r="C29" i="54"/>
  <c r="C17" i="54"/>
  <c r="C50" i="53"/>
  <c r="C45" i="53"/>
  <c r="C40" i="53"/>
  <c r="C35" i="53"/>
  <c r="C29" i="53"/>
  <c r="C17" i="53"/>
  <c r="C50" i="52"/>
  <c r="C45" i="52"/>
  <c r="C40" i="52"/>
  <c r="C35" i="52"/>
  <c r="C29" i="52"/>
  <c r="C17" i="52"/>
  <c r="C50" i="51"/>
  <c r="C45" i="51"/>
  <c r="C40" i="51"/>
  <c r="C35" i="51"/>
  <c r="C29" i="51"/>
  <c r="C17" i="51"/>
  <c r="C50" i="50"/>
  <c r="C45" i="50"/>
  <c r="C40" i="50"/>
  <c r="C35" i="50"/>
  <c r="C29" i="50"/>
  <c r="C17" i="50"/>
  <c r="C50" i="49"/>
  <c r="C45" i="49"/>
  <c r="C40" i="49"/>
  <c r="C35" i="49"/>
  <c r="C29" i="49"/>
  <c r="C17" i="49"/>
  <c r="C50" i="48"/>
  <c r="C45" i="48"/>
  <c r="C40" i="48"/>
  <c r="C35" i="48"/>
  <c r="C29" i="48"/>
  <c r="C17" i="48"/>
  <c r="C50" i="47"/>
  <c r="C45" i="47"/>
  <c r="C40" i="47"/>
  <c r="C35" i="47"/>
  <c r="C29" i="47"/>
  <c r="C17" i="47"/>
  <c r="C50" i="46"/>
  <c r="C45" i="46"/>
  <c r="C40" i="46"/>
  <c r="C35" i="46"/>
  <c r="C29" i="46"/>
  <c r="C17" i="46"/>
  <c r="C50" i="45"/>
  <c r="C45" i="45"/>
  <c r="C40" i="45"/>
  <c r="C35" i="45"/>
  <c r="C29" i="45"/>
  <c r="C17" i="45"/>
  <c r="C50" i="44"/>
  <c r="C45" i="44"/>
  <c r="C40" i="44"/>
  <c r="C35" i="44"/>
  <c r="C29" i="44"/>
  <c r="C17" i="44"/>
  <c r="C50" i="42"/>
  <c r="C45" i="42"/>
  <c r="C40" i="42"/>
  <c r="C35" i="42"/>
  <c r="C29" i="42"/>
  <c r="C17" i="42"/>
  <c r="C50" i="41"/>
  <c r="C45" i="41"/>
  <c r="C40" i="41"/>
  <c r="C35" i="41"/>
  <c r="C29" i="41"/>
  <c r="C17" i="41"/>
  <c r="C50" i="40"/>
  <c r="C45" i="40"/>
  <c r="C40" i="40"/>
  <c r="C35" i="40"/>
  <c r="C29" i="40"/>
  <c r="C17" i="40"/>
  <c r="C50" i="39"/>
  <c r="C45" i="39"/>
  <c r="C40" i="39"/>
  <c r="C35" i="39"/>
  <c r="C29" i="39"/>
  <c r="C17" i="39"/>
  <c r="C50" i="38"/>
  <c r="C45" i="38"/>
  <c r="C40" i="38"/>
  <c r="C35" i="38"/>
  <c r="C29" i="38"/>
  <c r="C17" i="38"/>
  <c r="C50" i="37"/>
  <c r="C45" i="37"/>
  <c r="C40" i="37"/>
  <c r="C35" i="37"/>
  <c r="C29" i="37"/>
  <c r="C17" i="37"/>
  <c r="C50" i="29"/>
  <c r="C45" i="29"/>
  <c r="C40" i="29"/>
  <c r="C35" i="29"/>
  <c r="C29" i="29"/>
  <c r="C17" i="29"/>
  <c r="C50" i="32"/>
  <c r="C45" i="32"/>
  <c r="C40" i="32"/>
  <c r="C35" i="32"/>
  <c r="C29" i="32"/>
  <c r="C17" i="32"/>
  <c r="C50" i="34"/>
  <c r="C45" i="34"/>
  <c r="C40" i="34"/>
  <c r="C35" i="34"/>
  <c r="C29" i="34"/>
  <c r="C17" i="34"/>
  <c r="C50" i="33"/>
  <c r="C45" i="33"/>
  <c r="C40" i="33"/>
  <c r="C35" i="33"/>
  <c r="C29" i="33"/>
  <c r="C17" i="33"/>
  <c r="F60" i="31"/>
  <c r="H54" i="14"/>
  <c r="H53" i="14"/>
  <c r="H52" i="14"/>
  <c r="H79" i="14"/>
  <c r="G79" i="14"/>
  <c r="F79" i="14"/>
  <c r="E79" i="14"/>
  <c r="D79" i="14"/>
  <c r="H78" i="14"/>
  <c r="G78" i="14"/>
  <c r="F78" i="14"/>
  <c r="E78" i="14"/>
  <c r="D78" i="14"/>
  <c r="H77" i="14"/>
  <c r="G77" i="14"/>
  <c r="F77" i="14"/>
  <c r="E77" i="14"/>
  <c r="D77" i="14"/>
  <c r="H76" i="14"/>
  <c r="G76" i="14"/>
  <c r="F76" i="14"/>
  <c r="E76" i="14"/>
  <c r="D76" i="14"/>
  <c r="H75" i="14"/>
  <c r="G75" i="14"/>
  <c r="F75" i="14"/>
  <c r="E75" i="14"/>
  <c r="D75" i="14"/>
  <c r="H74" i="14"/>
  <c r="G74" i="14"/>
  <c r="F74" i="14"/>
  <c r="E74" i="14"/>
  <c r="D74" i="14"/>
  <c r="H73" i="14"/>
  <c r="G73" i="14"/>
  <c r="F73" i="14"/>
  <c r="E73" i="14"/>
  <c r="D73" i="14"/>
  <c r="H72" i="14"/>
  <c r="G72" i="14"/>
  <c r="F72" i="14"/>
  <c r="E72" i="14"/>
  <c r="D72" i="14"/>
  <c r="H71" i="14"/>
  <c r="H70" i="14"/>
  <c r="G71" i="14"/>
  <c r="F71" i="14"/>
  <c r="E71" i="14"/>
  <c r="D71" i="14"/>
  <c r="H66" i="14"/>
  <c r="H65" i="14"/>
  <c r="H64" i="14"/>
  <c r="H63" i="14"/>
  <c r="H62" i="14"/>
  <c r="H61" i="14"/>
  <c r="H60" i="14"/>
  <c r="H59" i="14"/>
  <c r="H58" i="14"/>
  <c r="G66" i="14"/>
  <c r="F66" i="14"/>
  <c r="E66" i="14"/>
  <c r="D66" i="14"/>
  <c r="G65" i="14"/>
  <c r="F65" i="14"/>
  <c r="E65" i="14"/>
  <c r="D65" i="14"/>
  <c r="G64" i="14"/>
  <c r="F64" i="14"/>
  <c r="E64" i="14"/>
  <c r="D64" i="14"/>
  <c r="G63" i="14"/>
  <c r="F63" i="14"/>
  <c r="E63" i="14"/>
  <c r="D63" i="14"/>
  <c r="G62" i="14"/>
  <c r="F62" i="14"/>
  <c r="E62" i="14"/>
  <c r="D62" i="14"/>
  <c r="G61" i="14"/>
  <c r="F61" i="14"/>
  <c r="E61" i="14"/>
  <c r="D61" i="14"/>
  <c r="G60" i="14"/>
  <c r="F60" i="14"/>
  <c r="E60" i="14"/>
  <c r="D60" i="14"/>
  <c r="G59" i="14"/>
  <c r="F59" i="14"/>
  <c r="E59" i="14"/>
  <c r="D59" i="14"/>
  <c r="G54" i="14"/>
  <c r="F54" i="14"/>
  <c r="E54" i="14"/>
  <c r="D54" i="14"/>
  <c r="G53" i="14"/>
  <c r="F53" i="14"/>
  <c r="E53" i="14"/>
  <c r="D53" i="14"/>
  <c r="G52" i="14"/>
  <c r="F52" i="14"/>
  <c r="E52" i="14"/>
  <c r="D52" i="14"/>
  <c r="H51" i="14"/>
  <c r="G51" i="14"/>
  <c r="F51" i="14"/>
  <c r="E51" i="14"/>
  <c r="D51" i="14"/>
  <c r="H55" i="14"/>
  <c r="H48" i="14"/>
  <c r="I2" i="14"/>
  <c r="I94" i="14" s="1"/>
  <c r="I36" i="14" l="1"/>
  <c r="I41" i="14"/>
  <c r="H15" i="14"/>
  <c r="H22" i="14"/>
  <c r="H26" i="14"/>
  <c r="H33" i="14"/>
  <c r="H38" i="14"/>
  <c r="I30" i="14"/>
  <c r="H44" i="14"/>
  <c r="H80" i="14"/>
  <c r="H43" i="14" s="1"/>
  <c r="H86" i="14"/>
  <c r="H46" i="14" s="1"/>
  <c r="H92" i="14"/>
  <c r="H45" i="14" s="1"/>
  <c r="H98" i="14"/>
  <c r="H47" i="14" s="1"/>
  <c r="H12" i="14"/>
  <c r="H16" i="14"/>
  <c r="H23" i="14"/>
  <c r="H27" i="14"/>
  <c r="H34" i="14"/>
  <c r="H39" i="14"/>
  <c r="I50" i="14"/>
  <c r="H83" i="14"/>
  <c r="H89" i="14"/>
  <c r="H95" i="14"/>
  <c r="I69" i="14"/>
  <c r="H14" i="14"/>
  <c r="H18" i="14"/>
  <c r="H25" i="14"/>
  <c r="H32" i="14"/>
  <c r="H37" i="14"/>
  <c r="I21" i="14"/>
  <c r="I57" i="14"/>
  <c r="H85" i="14"/>
  <c r="H91" i="14"/>
  <c r="H97" i="14"/>
  <c r="H13" i="14"/>
  <c r="H17" i="14"/>
  <c r="H24" i="14"/>
  <c r="H28" i="14"/>
  <c r="H31" i="14"/>
  <c r="I11" i="14"/>
  <c r="H67" i="14"/>
  <c r="H42" i="14" s="1"/>
  <c r="H84" i="14"/>
  <c r="H90" i="14"/>
  <c r="H96" i="14"/>
  <c r="I82" i="14"/>
  <c r="I88" i="14"/>
  <c r="D20" i="36"/>
  <c r="F20" i="36" s="1"/>
  <c r="B10" i="36"/>
  <c r="A10" i="36"/>
  <c r="B9" i="36"/>
  <c r="A9" i="36"/>
  <c r="A8" i="36"/>
  <c r="I10" i="36"/>
  <c r="A7" i="36"/>
  <c r="A5" i="36"/>
  <c r="A4" i="36"/>
  <c r="A3" i="36"/>
  <c r="C44" i="35"/>
  <c r="C28" i="35"/>
  <c r="G97" i="14"/>
  <c r="F97" i="14"/>
  <c r="E97" i="14"/>
  <c r="D97" i="14"/>
  <c r="G96" i="14"/>
  <c r="F96" i="14"/>
  <c r="E96" i="14"/>
  <c r="D96" i="14"/>
  <c r="G95" i="14"/>
  <c r="F95" i="14"/>
  <c r="E95" i="14"/>
  <c r="D95" i="14"/>
  <c r="G91" i="14"/>
  <c r="F91" i="14"/>
  <c r="E91" i="14"/>
  <c r="D91" i="14"/>
  <c r="G90" i="14"/>
  <c r="F90" i="14"/>
  <c r="E90" i="14"/>
  <c r="D90" i="14"/>
  <c r="G89" i="14"/>
  <c r="F89" i="14"/>
  <c r="E89" i="14"/>
  <c r="D89" i="14"/>
  <c r="G85" i="14"/>
  <c r="F85" i="14"/>
  <c r="E85" i="14"/>
  <c r="D85" i="14"/>
  <c r="G84" i="14"/>
  <c r="F84" i="14"/>
  <c r="E84" i="14"/>
  <c r="D84" i="14"/>
  <c r="G83" i="14"/>
  <c r="F83" i="14"/>
  <c r="E83" i="14"/>
  <c r="D83" i="14"/>
  <c r="C79" i="14"/>
  <c r="C78" i="14"/>
  <c r="C75" i="14"/>
  <c r="C73" i="14"/>
  <c r="C71" i="14"/>
  <c r="G70" i="14"/>
  <c r="F70" i="14"/>
  <c r="E70" i="14"/>
  <c r="D70" i="14"/>
  <c r="C65" i="14"/>
  <c r="C63" i="14"/>
  <c r="C61" i="14"/>
  <c r="C59" i="14"/>
  <c r="G58" i="14"/>
  <c r="F58" i="14"/>
  <c r="E58" i="14"/>
  <c r="D58" i="14"/>
  <c r="C53" i="14"/>
  <c r="C51" i="14"/>
  <c r="G17" i="14"/>
  <c r="F17" i="14"/>
  <c r="E17" i="14"/>
  <c r="D17" i="14"/>
  <c r="G16" i="14"/>
  <c r="F16" i="14"/>
  <c r="E16" i="14"/>
  <c r="D16" i="14"/>
  <c r="G15" i="14"/>
  <c r="F15" i="14"/>
  <c r="E15" i="14"/>
  <c r="D15" i="14"/>
  <c r="C15" i="14" s="1"/>
  <c r="G14" i="14"/>
  <c r="F14" i="14"/>
  <c r="E14" i="14"/>
  <c r="D14" i="14"/>
  <c r="G13" i="14"/>
  <c r="F13" i="14"/>
  <c r="E13" i="14"/>
  <c r="D13" i="14"/>
  <c r="G12" i="14"/>
  <c r="F12" i="14"/>
  <c r="E12" i="14"/>
  <c r="D12" i="14"/>
  <c r="F59" i="61"/>
  <c r="F62" i="61" s="1"/>
  <c r="H8" i="14" s="1"/>
  <c r="C55" i="61"/>
  <c r="F55" i="61" s="1"/>
  <c r="C54" i="61"/>
  <c r="F54" i="61" s="1"/>
  <c r="C53" i="61"/>
  <c r="F60" i="61" s="1"/>
  <c r="I49" i="61"/>
  <c r="I48" i="61"/>
  <c r="I47" i="61"/>
  <c r="I44" i="61"/>
  <c r="I43" i="61"/>
  <c r="I42" i="61"/>
  <c r="I39" i="61"/>
  <c r="I38" i="61"/>
  <c r="I37" i="61"/>
  <c r="I34" i="61"/>
  <c r="I33" i="61"/>
  <c r="I32" i="61"/>
  <c r="I31" i="61"/>
  <c r="I28" i="61"/>
  <c r="I27" i="61"/>
  <c r="I26" i="61"/>
  <c r="I25" i="61"/>
  <c r="I24" i="61"/>
  <c r="I23" i="61"/>
  <c r="I22" i="61"/>
  <c r="I21" i="61"/>
  <c r="I20" i="61"/>
  <c r="I19" i="61"/>
  <c r="I16" i="61"/>
  <c r="I15" i="61"/>
  <c r="I14" i="61"/>
  <c r="I13" i="61"/>
  <c r="I12" i="61"/>
  <c r="I11" i="61"/>
  <c r="I10" i="61"/>
  <c r="I9" i="61"/>
  <c r="I8" i="61"/>
  <c r="B5" i="61"/>
  <c r="B4" i="61"/>
  <c r="B3" i="61"/>
  <c r="F2" i="61"/>
  <c r="B2" i="61"/>
  <c r="F62" i="60"/>
  <c r="H7" i="14" s="1"/>
  <c r="F59" i="60"/>
  <c r="C55" i="60"/>
  <c r="F55" i="60" s="1"/>
  <c r="C54" i="60"/>
  <c r="F54" i="60" s="1"/>
  <c r="C53" i="60"/>
  <c r="I49" i="60"/>
  <c r="I48" i="60"/>
  <c r="I47" i="60"/>
  <c r="I44" i="60"/>
  <c r="I43" i="60"/>
  <c r="I42" i="60"/>
  <c r="I39" i="60"/>
  <c r="I38" i="60"/>
  <c r="I37" i="60"/>
  <c r="I34" i="60"/>
  <c r="I33" i="60"/>
  <c r="I32" i="60"/>
  <c r="I31" i="60"/>
  <c r="I28" i="60"/>
  <c r="I27" i="60"/>
  <c r="I26" i="60"/>
  <c r="I25" i="60"/>
  <c r="I24" i="60"/>
  <c r="I23" i="60"/>
  <c r="I22" i="60"/>
  <c r="I21" i="60"/>
  <c r="I20" i="60"/>
  <c r="I19" i="60"/>
  <c r="I16" i="60"/>
  <c r="I15" i="60"/>
  <c r="I14" i="60"/>
  <c r="I13" i="60"/>
  <c r="I12" i="60"/>
  <c r="I11" i="60"/>
  <c r="I10" i="60"/>
  <c r="I9" i="60"/>
  <c r="I8" i="60"/>
  <c r="B5" i="60"/>
  <c r="B4" i="60"/>
  <c r="B3" i="60"/>
  <c r="F2" i="60"/>
  <c r="B2" i="60"/>
  <c r="F59" i="59"/>
  <c r="F62" i="59" s="1"/>
  <c r="H6" i="14" s="1"/>
  <c r="C55" i="59"/>
  <c r="F55" i="59" s="1"/>
  <c r="C54" i="59"/>
  <c r="F54" i="59" s="1"/>
  <c r="C53" i="59"/>
  <c r="F60" i="59" s="1"/>
  <c r="I49" i="59"/>
  <c r="I48" i="59"/>
  <c r="I47" i="59"/>
  <c r="I44" i="59"/>
  <c r="I43" i="59"/>
  <c r="I42" i="59"/>
  <c r="I39" i="59"/>
  <c r="I38" i="59"/>
  <c r="I37" i="59"/>
  <c r="I34" i="59"/>
  <c r="I33" i="59"/>
  <c r="I32" i="59"/>
  <c r="I31" i="59"/>
  <c r="I28" i="59"/>
  <c r="I27" i="59"/>
  <c r="I26" i="59"/>
  <c r="I25" i="59"/>
  <c r="I24" i="59"/>
  <c r="I23" i="59"/>
  <c r="I22" i="59"/>
  <c r="I21" i="59"/>
  <c r="I20" i="59"/>
  <c r="I19" i="59"/>
  <c r="I16" i="59"/>
  <c r="I15" i="59"/>
  <c r="I14" i="59"/>
  <c r="I13" i="59"/>
  <c r="I12" i="59"/>
  <c r="I11" i="59"/>
  <c r="I10" i="59"/>
  <c r="I9" i="59"/>
  <c r="I8" i="59"/>
  <c r="B5" i="59"/>
  <c r="B4" i="59"/>
  <c r="B3" i="59"/>
  <c r="F2" i="59"/>
  <c r="B2" i="59"/>
  <c r="F59" i="58"/>
  <c r="F62" i="58" s="1"/>
  <c r="H5" i="14" s="1"/>
  <c r="C55" i="58"/>
  <c r="F55" i="58" s="1"/>
  <c r="C54" i="58"/>
  <c r="F54" i="58" s="1"/>
  <c r="C53" i="58"/>
  <c r="I49" i="58"/>
  <c r="I48" i="58"/>
  <c r="I47" i="58"/>
  <c r="I44" i="58"/>
  <c r="I43" i="58"/>
  <c r="I42" i="58"/>
  <c r="I39" i="58"/>
  <c r="I38" i="58"/>
  <c r="I37" i="58"/>
  <c r="I34" i="58"/>
  <c r="I33" i="58"/>
  <c r="I32" i="58"/>
  <c r="I31" i="58"/>
  <c r="I28" i="58"/>
  <c r="I27" i="58"/>
  <c r="I26" i="58"/>
  <c r="I25" i="58"/>
  <c r="I24" i="58"/>
  <c r="I23" i="58"/>
  <c r="I22" i="58"/>
  <c r="I21" i="58"/>
  <c r="I20" i="58"/>
  <c r="I19" i="58"/>
  <c r="I16" i="58"/>
  <c r="I15" i="58"/>
  <c r="I14" i="58"/>
  <c r="I13" i="58"/>
  <c r="I12" i="58"/>
  <c r="I11" i="58"/>
  <c r="I10" i="58"/>
  <c r="I9" i="58"/>
  <c r="I8" i="58"/>
  <c r="B5" i="58"/>
  <c r="B4" i="58"/>
  <c r="B3" i="58"/>
  <c r="F2" i="58"/>
  <c r="B2" i="58"/>
  <c r="F59" i="57"/>
  <c r="F62" i="57" s="1"/>
  <c r="H4" i="14" s="1"/>
  <c r="C55" i="57"/>
  <c r="F55" i="57" s="1"/>
  <c r="C54" i="57"/>
  <c r="F54" i="57" s="1"/>
  <c r="C53" i="57"/>
  <c r="F60" i="57" s="1"/>
  <c r="I49" i="57"/>
  <c r="I48" i="57"/>
  <c r="I47" i="57"/>
  <c r="I44" i="57"/>
  <c r="I43" i="57"/>
  <c r="I42" i="57"/>
  <c r="I39" i="57"/>
  <c r="I38" i="57"/>
  <c r="I37" i="57"/>
  <c r="I34" i="57"/>
  <c r="I33" i="57"/>
  <c r="I32" i="57"/>
  <c r="I31" i="57"/>
  <c r="I28" i="57"/>
  <c r="I27" i="57"/>
  <c r="I26" i="57"/>
  <c r="I25" i="57"/>
  <c r="I24" i="57"/>
  <c r="I23" i="57"/>
  <c r="I22" i="57"/>
  <c r="I21" i="57"/>
  <c r="I20" i="57"/>
  <c r="I19" i="57"/>
  <c r="I16" i="57"/>
  <c r="I15" i="57"/>
  <c r="I14" i="57"/>
  <c r="I13" i="57"/>
  <c r="I12" i="57"/>
  <c r="I11" i="57"/>
  <c r="I10" i="57"/>
  <c r="I9" i="57"/>
  <c r="I8" i="57"/>
  <c r="B5" i="57"/>
  <c r="B4" i="57"/>
  <c r="B3" i="57"/>
  <c r="F2" i="57"/>
  <c r="B2" i="57"/>
  <c r="F59" i="56"/>
  <c r="F55" i="56"/>
  <c r="C55" i="56"/>
  <c r="C54" i="56"/>
  <c r="F54" i="56" s="1"/>
  <c r="C53" i="56"/>
  <c r="I49" i="56"/>
  <c r="I48" i="56"/>
  <c r="I47" i="56"/>
  <c r="I44" i="56"/>
  <c r="I43" i="56"/>
  <c r="I42" i="56"/>
  <c r="I39" i="56"/>
  <c r="I38" i="56"/>
  <c r="I37" i="56"/>
  <c r="I34" i="56"/>
  <c r="I33" i="56"/>
  <c r="I32" i="56"/>
  <c r="I31" i="56"/>
  <c r="I28" i="56"/>
  <c r="I27" i="56"/>
  <c r="I26" i="56"/>
  <c r="I25" i="56"/>
  <c r="I24" i="56"/>
  <c r="I23" i="56"/>
  <c r="I22" i="56"/>
  <c r="I21" i="56"/>
  <c r="I20" i="56"/>
  <c r="I19" i="56"/>
  <c r="I16" i="56"/>
  <c r="I15" i="56"/>
  <c r="I14" i="56"/>
  <c r="I13" i="56"/>
  <c r="I12" i="56"/>
  <c r="I11" i="56"/>
  <c r="I10" i="56"/>
  <c r="I9" i="56"/>
  <c r="I8" i="56"/>
  <c r="B5" i="56"/>
  <c r="B4" i="56"/>
  <c r="B3" i="56"/>
  <c r="F2" i="56"/>
  <c r="B2" i="56"/>
  <c r="F59" i="55"/>
  <c r="F62" i="55" s="1"/>
  <c r="G8" i="14" s="1"/>
  <c r="C55" i="55"/>
  <c r="F55" i="55" s="1"/>
  <c r="C54" i="55"/>
  <c r="F54" i="55" s="1"/>
  <c r="C53" i="55"/>
  <c r="I49" i="55"/>
  <c r="I48" i="55"/>
  <c r="I47" i="55"/>
  <c r="I44" i="55"/>
  <c r="I43" i="55"/>
  <c r="I42" i="55"/>
  <c r="I39" i="55"/>
  <c r="I38" i="55"/>
  <c r="I37" i="55"/>
  <c r="I34" i="55"/>
  <c r="I33" i="55"/>
  <c r="I32" i="55"/>
  <c r="I31" i="55"/>
  <c r="I28" i="55"/>
  <c r="I27" i="55"/>
  <c r="I26" i="55"/>
  <c r="I25" i="55"/>
  <c r="I24" i="55"/>
  <c r="I23" i="55"/>
  <c r="I22" i="55"/>
  <c r="I21" i="55"/>
  <c r="I20" i="55"/>
  <c r="I19" i="55"/>
  <c r="I16" i="55"/>
  <c r="I15" i="55"/>
  <c r="I14" i="55"/>
  <c r="I13" i="55"/>
  <c r="I12" i="55"/>
  <c r="I11" i="55"/>
  <c r="I10" i="55"/>
  <c r="I9" i="55"/>
  <c r="I8" i="55"/>
  <c r="B5" i="55"/>
  <c r="B4" i="55"/>
  <c r="B3" i="55"/>
  <c r="F2" i="55"/>
  <c r="B2" i="55"/>
  <c r="F59" i="54"/>
  <c r="F62" i="54" s="1"/>
  <c r="G7" i="14" s="1"/>
  <c r="C55" i="54"/>
  <c r="F55" i="54" s="1"/>
  <c r="C54" i="54"/>
  <c r="F54" i="54" s="1"/>
  <c r="C53" i="54"/>
  <c r="I49" i="54"/>
  <c r="I48" i="54"/>
  <c r="I47" i="54"/>
  <c r="I44" i="54"/>
  <c r="I43" i="54"/>
  <c r="I42" i="54"/>
  <c r="I39" i="54"/>
  <c r="I38" i="54"/>
  <c r="I37" i="54"/>
  <c r="I34" i="54"/>
  <c r="I33" i="54"/>
  <c r="I32" i="54"/>
  <c r="I31" i="54"/>
  <c r="I28" i="54"/>
  <c r="I27" i="54"/>
  <c r="I26" i="54"/>
  <c r="I25" i="54"/>
  <c r="I24" i="54"/>
  <c r="I23" i="54"/>
  <c r="I22" i="54"/>
  <c r="I21" i="54"/>
  <c r="I20" i="54"/>
  <c r="I19" i="54"/>
  <c r="I16" i="54"/>
  <c r="I15" i="54"/>
  <c r="I14" i="54"/>
  <c r="I13" i="54"/>
  <c r="I12" i="54"/>
  <c r="I11" i="54"/>
  <c r="I10" i="54"/>
  <c r="I9" i="54"/>
  <c r="I8" i="54"/>
  <c r="B5" i="54"/>
  <c r="B4" i="54"/>
  <c r="B3" i="54"/>
  <c r="F2" i="54"/>
  <c r="B2" i="54"/>
  <c r="F59" i="53"/>
  <c r="F62" i="53" s="1"/>
  <c r="G6" i="14" s="1"/>
  <c r="C55" i="53"/>
  <c r="F55" i="53" s="1"/>
  <c r="C54" i="53"/>
  <c r="F54" i="53" s="1"/>
  <c r="C53" i="53"/>
  <c r="F60" i="53" s="1"/>
  <c r="I49" i="53"/>
  <c r="I48" i="53"/>
  <c r="I47" i="53"/>
  <c r="I44" i="53"/>
  <c r="I43" i="53"/>
  <c r="I42" i="53"/>
  <c r="I39" i="53"/>
  <c r="I38" i="53"/>
  <c r="I37" i="53"/>
  <c r="I34" i="53"/>
  <c r="I33" i="53"/>
  <c r="I32" i="53"/>
  <c r="I31" i="53"/>
  <c r="I28" i="53"/>
  <c r="I27" i="53"/>
  <c r="I26" i="53"/>
  <c r="I25" i="53"/>
  <c r="I24" i="53"/>
  <c r="I23" i="53"/>
  <c r="I22" i="53"/>
  <c r="I21" i="53"/>
  <c r="I20" i="53"/>
  <c r="I19" i="53"/>
  <c r="I16" i="53"/>
  <c r="I15" i="53"/>
  <c r="I14" i="53"/>
  <c r="I13" i="53"/>
  <c r="I12" i="53"/>
  <c r="I11" i="53"/>
  <c r="I10" i="53"/>
  <c r="I9" i="53"/>
  <c r="I8" i="53"/>
  <c r="B5" i="53"/>
  <c r="B4" i="53"/>
  <c r="B3" i="53"/>
  <c r="F2" i="53"/>
  <c r="B2" i="53"/>
  <c r="F62" i="52"/>
  <c r="G5" i="14" s="1"/>
  <c r="F59" i="52"/>
  <c r="C55" i="52"/>
  <c r="F55" i="52" s="1"/>
  <c r="C54" i="52"/>
  <c r="F54" i="52" s="1"/>
  <c r="C53" i="52"/>
  <c r="I49" i="52"/>
  <c r="I48" i="52"/>
  <c r="I47" i="52"/>
  <c r="I44" i="52"/>
  <c r="I43" i="52"/>
  <c r="I42" i="52"/>
  <c r="I39" i="52"/>
  <c r="I38" i="52"/>
  <c r="I37" i="52"/>
  <c r="I34" i="52"/>
  <c r="I33" i="52"/>
  <c r="I32" i="52"/>
  <c r="I31" i="52"/>
  <c r="I28" i="52"/>
  <c r="I27" i="52"/>
  <c r="I26" i="52"/>
  <c r="I25" i="52"/>
  <c r="I24" i="52"/>
  <c r="I23" i="52"/>
  <c r="I22" i="52"/>
  <c r="I21" i="52"/>
  <c r="I20" i="52"/>
  <c r="I19" i="52"/>
  <c r="I16" i="52"/>
  <c r="I15" i="52"/>
  <c r="I14" i="52"/>
  <c r="I13" i="52"/>
  <c r="I12" i="52"/>
  <c r="I11" i="52"/>
  <c r="I10" i="52"/>
  <c r="I9" i="52"/>
  <c r="I8" i="52"/>
  <c r="B5" i="52"/>
  <c r="B4" i="52"/>
  <c r="B3" i="52"/>
  <c r="F2" i="52"/>
  <c r="B2" i="52"/>
  <c r="F59" i="51"/>
  <c r="F62" i="51" s="1"/>
  <c r="G4" i="14" s="1"/>
  <c r="C55" i="51"/>
  <c r="F55" i="51" s="1"/>
  <c r="C54" i="51"/>
  <c r="F54" i="51" s="1"/>
  <c r="C53" i="51"/>
  <c r="I49" i="51"/>
  <c r="I48" i="51"/>
  <c r="I47" i="51"/>
  <c r="I44" i="51"/>
  <c r="I43" i="51"/>
  <c r="I42" i="51"/>
  <c r="I39" i="51"/>
  <c r="I38" i="51"/>
  <c r="I37" i="51"/>
  <c r="I34" i="51"/>
  <c r="I33" i="51"/>
  <c r="I32" i="51"/>
  <c r="I31" i="51"/>
  <c r="I28" i="51"/>
  <c r="I27" i="51"/>
  <c r="I26" i="51"/>
  <c r="I25" i="51"/>
  <c r="I24" i="51"/>
  <c r="I23" i="51"/>
  <c r="I22" i="51"/>
  <c r="I21" i="51"/>
  <c r="I20" i="51"/>
  <c r="I19" i="51"/>
  <c r="I16" i="51"/>
  <c r="I15" i="51"/>
  <c r="I14" i="51"/>
  <c r="I13" i="51"/>
  <c r="I12" i="51"/>
  <c r="I11" i="51"/>
  <c r="I10" i="51"/>
  <c r="I9" i="51"/>
  <c r="I8" i="51"/>
  <c r="B5" i="51"/>
  <c r="B4" i="51"/>
  <c r="B3" i="51"/>
  <c r="F2" i="51"/>
  <c r="B2" i="51"/>
  <c r="F59" i="50"/>
  <c r="F62" i="50" s="1"/>
  <c r="G3" i="14" s="1"/>
  <c r="C55" i="50"/>
  <c r="F55" i="50" s="1"/>
  <c r="C54" i="50"/>
  <c r="C53" i="50"/>
  <c r="F60" i="50" s="1"/>
  <c r="I49" i="50"/>
  <c r="I48" i="50"/>
  <c r="I47" i="50"/>
  <c r="I44" i="50"/>
  <c r="I43" i="50"/>
  <c r="I42" i="50"/>
  <c r="I39" i="50"/>
  <c r="I38" i="50"/>
  <c r="I37" i="50"/>
  <c r="I34" i="50"/>
  <c r="I33" i="50"/>
  <c r="I32" i="50"/>
  <c r="I31" i="50"/>
  <c r="I28" i="50"/>
  <c r="I27" i="50"/>
  <c r="I26" i="50"/>
  <c r="I25" i="50"/>
  <c r="I24" i="50"/>
  <c r="I23" i="50"/>
  <c r="I22" i="50"/>
  <c r="I21" i="50"/>
  <c r="I20" i="50"/>
  <c r="I19" i="50"/>
  <c r="I16" i="50"/>
  <c r="I15" i="50"/>
  <c r="I14" i="50"/>
  <c r="I13" i="50"/>
  <c r="I12" i="50"/>
  <c r="I11" i="50"/>
  <c r="I10" i="50"/>
  <c r="I9" i="50"/>
  <c r="I8" i="50"/>
  <c r="B5" i="50"/>
  <c r="B4" i="50"/>
  <c r="B3" i="50"/>
  <c r="F2" i="50"/>
  <c r="B2" i="50"/>
  <c r="F59" i="49"/>
  <c r="F62" i="49" s="1"/>
  <c r="F8" i="14" s="1"/>
  <c r="C55" i="49"/>
  <c r="F55" i="49" s="1"/>
  <c r="C54" i="49"/>
  <c r="F54" i="49" s="1"/>
  <c r="C53" i="49"/>
  <c r="F60" i="49" s="1"/>
  <c r="I49" i="49"/>
  <c r="I48" i="49"/>
  <c r="I47" i="49"/>
  <c r="I44" i="49"/>
  <c r="I43" i="49"/>
  <c r="I42" i="49"/>
  <c r="I39" i="49"/>
  <c r="I38" i="49"/>
  <c r="I37" i="49"/>
  <c r="I34" i="49"/>
  <c r="I33" i="49"/>
  <c r="I32" i="49"/>
  <c r="I31" i="49"/>
  <c r="I28" i="49"/>
  <c r="I27" i="49"/>
  <c r="I26" i="49"/>
  <c r="I25" i="49"/>
  <c r="I24" i="49"/>
  <c r="I23" i="49"/>
  <c r="I22" i="49"/>
  <c r="I21" i="49"/>
  <c r="I20" i="49"/>
  <c r="I19" i="49"/>
  <c r="I16" i="49"/>
  <c r="I15" i="49"/>
  <c r="I14" i="49"/>
  <c r="I13" i="49"/>
  <c r="I12" i="49"/>
  <c r="I11" i="49"/>
  <c r="I10" i="49"/>
  <c r="I9" i="49"/>
  <c r="I8" i="49"/>
  <c r="B5" i="49"/>
  <c r="B4" i="49"/>
  <c r="B3" i="49"/>
  <c r="F2" i="49"/>
  <c r="B2" i="49"/>
  <c r="F59" i="48"/>
  <c r="F62" i="48" s="1"/>
  <c r="F7" i="14" s="1"/>
  <c r="C55" i="48"/>
  <c r="F55" i="48" s="1"/>
  <c r="C54" i="48"/>
  <c r="F54" i="48" s="1"/>
  <c r="C53" i="48"/>
  <c r="F60" i="48" s="1"/>
  <c r="I49" i="48"/>
  <c r="I48" i="48"/>
  <c r="I47" i="48"/>
  <c r="I44" i="48"/>
  <c r="I43" i="48"/>
  <c r="I42" i="48"/>
  <c r="I39" i="48"/>
  <c r="I38" i="48"/>
  <c r="I37" i="48"/>
  <c r="I34" i="48"/>
  <c r="I33" i="48"/>
  <c r="I32" i="48"/>
  <c r="I31" i="48"/>
  <c r="I28" i="48"/>
  <c r="I27" i="48"/>
  <c r="I26" i="48"/>
  <c r="I25" i="48"/>
  <c r="I24" i="48"/>
  <c r="I23" i="48"/>
  <c r="I22" i="48"/>
  <c r="I21" i="48"/>
  <c r="I20" i="48"/>
  <c r="I19" i="48"/>
  <c r="I16" i="48"/>
  <c r="I15" i="48"/>
  <c r="I14" i="48"/>
  <c r="I13" i="48"/>
  <c r="I12" i="48"/>
  <c r="I11" i="48"/>
  <c r="I10" i="48"/>
  <c r="I9" i="48"/>
  <c r="I8" i="48"/>
  <c r="B5" i="48"/>
  <c r="B4" i="48"/>
  <c r="B3" i="48"/>
  <c r="F2" i="48"/>
  <c r="B2" i="48"/>
  <c r="F59" i="47"/>
  <c r="F62" i="47" s="1"/>
  <c r="F6" i="14" s="1"/>
  <c r="C55" i="47"/>
  <c r="F55" i="47" s="1"/>
  <c r="C54" i="47"/>
  <c r="F54" i="47" s="1"/>
  <c r="C53" i="47"/>
  <c r="I49" i="47"/>
  <c r="I48" i="47"/>
  <c r="I47" i="47"/>
  <c r="I44" i="47"/>
  <c r="I43" i="47"/>
  <c r="I42" i="47"/>
  <c r="I39" i="47"/>
  <c r="I38" i="47"/>
  <c r="I37" i="47"/>
  <c r="I34" i="47"/>
  <c r="I33" i="47"/>
  <c r="I32" i="47"/>
  <c r="I31" i="47"/>
  <c r="I28" i="47"/>
  <c r="I27" i="47"/>
  <c r="I26" i="47"/>
  <c r="I25" i="47"/>
  <c r="I24" i="47"/>
  <c r="I23" i="47"/>
  <c r="I22" i="47"/>
  <c r="I21" i="47"/>
  <c r="I20" i="47"/>
  <c r="I19" i="47"/>
  <c r="I16" i="47"/>
  <c r="I15" i="47"/>
  <c r="I14" i="47"/>
  <c r="I13" i="47"/>
  <c r="I12" i="47"/>
  <c r="I11" i="47"/>
  <c r="I10" i="47"/>
  <c r="I9" i="47"/>
  <c r="I8" i="47"/>
  <c r="B5" i="47"/>
  <c r="B4" i="47"/>
  <c r="B3" i="47"/>
  <c r="F2" i="47"/>
  <c r="B2" i="47"/>
  <c r="F59" i="46"/>
  <c r="F62" i="46" s="1"/>
  <c r="F5" i="14" s="1"/>
  <c r="C55" i="46"/>
  <c r="F55" i="46" s="1"/>
  <c r="C54" i="46"/>
  <c r="F54" i="46" s="1"/>
  <c r="C53" i="46"/>
  <c r="I49" i="46"/>
  <c r="I48" i="46"/>
  <c r="I47" i="46"/>
  <c r="I44" i="46"/>
  <c r="I43" i="46"/>
  <c r="I42" i="46"/>
  <c r="I39" i="46"/>
  <c r="I38" i="46"/>
  <c r="I37" i="46"/>
  <c r="I34" i="46"/>
  <c r="I33" i="46"/>
  <c r="I32" i="46"/>
  <c r="I31" i="46"/>
  <c r="I28" i="46"/>
  <c r="I27" i="46"/>
  <c r="I26" i="46"/>
  <c r="I25" i="46"/>
  <c r="I24" i="46"/>
  <c r="I23" i="46"/>
  <c r="I22" i="46"/>
  <c r="I21" i="46"/>
  <c r="I20" i="46"/>
  <c r="I19" i="46"/>
  <c r="I16" i="46"/>
  <c r="I15" i="46"/>
  <c r="I14" i="46"/>
  <c r="I13" i="46"/>
  <c r="I12" i="46"/>
  <c r="I11" i="46"/>
  <c r="I10" i="46"/>
  <c r="I9" i="46"/>
  <c r="I8" i="46"/>
  <c r="B5" i="46"/>
  <c r="B4" i="46"/>
  <c r="B3" i="46"/>
  <c r="F2" i="46"/>
  <c r="B2" i="46"/>
  <c r="F59" i="45"/>
  <c r="F62" i="45" s="1"/>
  <c r="F4" i="14" s="1"/>
  <c r="C55" i="45"/>
  <c r="F55" i="45" s="1"/>
  <c r="C54" i="45"/>
  <c r="F54" i="45" s="1"/>
  <c r="C53" i="45"/>
  <c r="I49" i="45"/>
  <c r="I48" i="45"/>
  <c r="I47" i="45"/>
  <c r="I44" i="45"/>
  <c r="I43" i="45"/>
  <c r="I42" i="45"/>
  <c r="I39" i="45"/>
  <c r="I38" i="45"/>
  <c r="I37" i="45"/>
  <c r="I34" i="45"/>
  <c r="I33" i="45"/>
  <c r="I32" i="45"/>
  <c r="I31" i="45"/>
  <c r="I28" i="45"/>
  <c r="I27" i="45"/>
  <c r="I26" i="45"/>
  <c r="I25" i="45"/>
  <c r="I24" i="45"/>
  <c r="I23" i="45"/>
  <c r="I22" i="45"/>
  <c r="I21" i="45"/>
  <c r="I20" i="45"/>
  <c r="I19" i="45"/>
  <c r="I16" i="45"/>
  <c r="I15" i="45"/>
  <c r="I14" i="45"/>
  <c r="I13" i="45"/>
  <c r="I12" i="45"/>
  <c r="I11" i="45"/>
  <c r="I10" i="45"/>
  <c r="I9" i="45"/>
  <c r="I8" i="45"/>
  <c r="B5" i="45"/>
  <c r="B4" i="45"/>
  <c r="B3" i="45"/>
  <c r="F2" i="45"/>
  <c r="B2" i="45"/>
  <c r="F62" i="44"/>
  <c r="F3" i="14" s="1"/>
  <c r="F59" i="44"/>
  <c r="C55" i="44"/>
  <c r="F55" i="44" s="1"/>
  <c r="C54" i="44"/>
  <c r="C53" i="44"/>
  <c r="I49" i="44"/>
  <c r="I48" i="44"/>
  <c r="I47" i="44"/>
  <c r="I44" i="44"/>
  <c r="I43" i="44"/>
  <c r="I42" i="44"/>
  <c r="I39" i="44"/>
  <c r="I38" i="44"/>
  <c r="I37" i="44"/>
  <c r="I34" i="44"/>
  <c r="I33" i="44"/>
  <c r="I32" i="44"/>
  <c r="I31" i="44"/>
  <c r="I28" i="44"/>
  <c r="I27" i="44"/>
  <c r="I26" i="44"/>
  <c r="I25" i="44"/>
  <c r="I24" i="44"/>
  <c r="I23" i="44"/>
  <c r="I22" i="44"/>
  <c r="I21" i="44"/>
  <c r="I20" i="44"/>
  <c r="I19" i="44"/>
  <c r="I16" i="44"/>
  <c r="I15" i="44"/>
  <c r="I14" i="44"/>
  <c r="I13" i="44"/>
  <c r="I12" i="44"/>
  <c r="I11" i="44"/>
  <c r="I10" i="44"/>
  <c r="I9" i="44"/>
  <c r="I8" i="44"/>
  <c r="B5" i="44"/>
  <c r="B4" i="44"/>
  <c r="B3" i="44"/>
  <c r="F2" i="44"/>
  <c r="B2" i="44"/>
  <c r="F59" i="42"/>
  <c r="F62" i="42" s="1"/>
  <c r="E8" i="14" s="1"/>
  <c r="C55" i="42"/>
  <c r="C54" i="42"/>
  <c r="C53" i="42"/>
  <c r="I49" i="42"/>
  <c r="I48" i="42"/>
  <c r="I47" i="42"/>
  <c r="I44" i="42"/>
  <c r="I43" i="42"/>
  <c r="I42" i="42"/>
  <c r="I39" i="42"/>
  <c r="I38" i="42"/>
  <c r="I37" i="42"/>
  <c r="I34" i="42"/>
  <c r="I33" i="42"/>
  <c r="I32" i="42"/>
  <c r="I31" i="42"/>
  <c r="I28" i="42"/>
  <c r="I27" i="42"/>
  <c r="I26" i="42"/>
  <c r="I25" i="42"/>
  <c r="I24" i="42"/>
  <c r="I23" i="42"/>
  <c r="I22" i="42"/>
  <c r="I21" i="42"/>
  <c r="I20" i="42"/>
  <c r="I19" i="42"/>
  <c r="I16" i="42"/>
  <c r="I15" i="42"/>
  <c r="I14" i="42"/>
  <c r="I13" i="42"/>
  <c r="I12" i="42"/>
  <c r="I11" i="42"/>
  <c r="I10" i="42"/>
  <c r="I9" i="42"/>
  <c r="I8" i="42"/>
  <c r="B5" i="42"/>
  <c r="B4" i="42"/>
  <c r="B3" i="42"/>
  <c r="F2" i="42"/>
  <c r="B2" i="42"/>
  <c r="F59" i="41"/>
  <c r="F62" i="41" s="1"/>
  <c r="E7" i="14" s="1"/>
  <c r="C55" i="41"/>
  <c r="F55" i="41" s="1"/>
  <c r="C54" i="41"/>
  <c r="F54" i="41" s="1"/>
  <c r="F53" i="41"/>
  <c r="C53" i="41"/>
  <c r="I49" i="41"/>
  <c r="I48" i="41"/>
  <c r="I47" i="41"/>
  <c r="I44" i="41"/>
  <c r="I43" i="41"/>
  <c r="I42" i="41"/>
  <c r="I39" i="41"/>
  <c r="I38" i="41"/>
  <c r="I37" i="41"/>
  <c r="I34" i="41"/>
  <c r="I33" i="41"/>
  <c r="I32" i="41"/>
  <c r="I31" i="41"/>
  <c r="I28" i="41"/>
  <c r="I27" i="41"/>
  <c r="I26" i="41"/>
  <c r="I25" i="41"/>
  <c r="I24" i="41"/>
  <c r="I23" i="41"/>
  <c r="I22" i="41"/>
  <c r="I21" i="41"/>
  <c r="I20" i="41"/>
  <c r="I19" i="41"/>
  <c r="I16" i="41"/>
  <c r="I15" i="41"/>
  <c r="I14" i="41"/>
  <c r="I13" i="41"/>
  <c r="I12" i="41"/>
  <c r="I11" i="41"/>
  <c r="I10" i="41"/>
  <c r="I9" i="41"/>
  <c r="I8" i="41"/>
  <c r="F59" i="40"/>
  <c r="C55" i="40"/>
  <c r="C54" i="40"/>
  <c r="C53" i="40"/>
  <c r="I49" i="40"/>
  <c r="I48" i="40"/>
  <c r="I47" i="40"/>
  <c r="I44" i="40"/>
  <c r="I43" i="40"/>
  <c r="I42" i="40"/>
  <c r="I39" i="40"/>
  <c r="I38" i="40"/>
  <c r="I37" i="40"/>
  <c r="I34" i="40"/>
  <c r="I33" i="40"/>
  <c r="I32" i="40"/>
  <c r="I31" i="40"/>
  <c r="I28" i="40"/>
  <c r="I27" i="40"/>
  <c r="I26" i="40"/>
  <c r="I25" i="40"/>
  <c r="I24" i="40"/>
  <c r="I23" i="40"/>
  <c r="I22" i="40"/>
  <c r="I21" i="40"/>
  <c r="I20" i="40"/>
  <c r="I19" i="40"/>
  <c r="I16" i="40"/>
  <c r="I15" i="40"/>
  <c r="I14" i="40"/>
  <c r="I13" i="40"/>
  <c r="I12" i="40"/>
  <c r="I11" i="40"/>
  <c r="I10" i="40"/>
  <c r="I9" i="40"/>
  <c r="I8" i="40"/>
  <c r="F62" i="39"/>
  <c r="E5" i="14" s="1"/>
  <c r="F59" i="39"/>
  <c r="C55" i="39"/>
  <c r="F55" i="39" s="1"/>
  <c r="C54" i="39"/>
  <c r="C53" i="39"/>
  <c r="F60" i="39" s="1"/>
  <c r="I49" i="39"/>
  <c r="I48" i="39"/>
  <c r="I47" i="39"/>
  <c r="I44" i="39"/>
  <c r="I43" i="39"/>
  <c r="I42" i="39"/>
  <c r="I39" i="39"/>
  <c r="I38" i="39"/>
  <c r="I37" i="39"/>
  <c r="I34" i="39"/>
  <c r="I33" i="39"/>
  <c r="I32" i="39"/>
  <c r="I31" i="39"/>
  <c r="I28" i="39"/>
  <c r="I27" i="39"/>
  <c r="I26" i="39"/>
  <c r="I25" i="39"/>
  <c r="I24" i="39"/>
  <c r="I23" i="39"/>
  <c r="I22" i="39"/>
  <c r="I21" i="39"/>
  <c r="I20" i="39"/>
  <c r="I19" i="39"/>
  <c r="I16" i="39"/>
  <c r="I15" i="39"/>
  <c r="I14" i="39"/>
  <c r="I13" i="39"/>
  <c r="I12" i="39"/>
  <c r="I11" i="39"/>
  <c r="I10" i="39"/>
  <c r="I9" i="39"/>
  <c r="I8" i="39"/>
  <c r="B5" i="39"/>
  <c r="B4" i="39"/>
  <c r="B3" i="39"/>
  <c r="F2" i="39"/>
  <c r="B2" i="39"/>
  <c r="F59" i="38"/>
  <c r="F62" i="38" s="1"/>
  <c r="E4" i="14" s="1"/>
  <c r="C55" i="38"/>
  <c r="F55" i="38" s="1"/>
  <c r="C54" i="38"/>
  <c r="F54" i="38" s="1"/>
  <c r="C53" i="38"/>
  <c r="I49" i="38"/>
  <c r="I48" i="38"/>
  <c r="I47" i="38"/>
  <c r="I44" i="38"/>
  <c r="I43" i="38"/>
  <c r="I42" i="38"/>
  <c r="I39" i="38"/>
  <c r="I38" i="38"/>
  <c r="I37" i="38"/>
  <c r="I34" i="38"/>
  <c r="I33" i="38"/>
  <c r="I32" i="38"/>
  <c r="I31" i="38"/>
  <c r="I28" i="38"/>
  <c r="I27" i="38"/>
  <c r="I26" i="38"/>
  <c r="I25" i="38"/>
  <c r="I24" i="38"/>
  <c r="I23" i="38"/>
  <c r="I22" i="38"/>
  <c r="I21" i="38"/>
  <c r="I20" i="38"/>
  <c r="I19" i="38"/>
  <c r="I16" i="38"/>
  <c r="I15" i="38"/>
  <c r="I14" i="38"/>
  <c r="I13" i="38"/>
  <c r="I12" i="38"/>
  <c r="I11" i="38"/>
  <c r="I10" i="38"/>
  <c r="I9" i="38"/>
  <c r="I8" i="38"/>
  <c r="B5" i="38"/>
  <c r="B4" i="38"/>
  <c r="B3" i="38"/>
  <c r="F2" i="38"/>
  <c r="B2" i="38"/>
  <c r="F62" i="37"/>
  <c r="E3" i="14" s="1"/>
  <c r="F59" i="37"/>
  <c r="C55" i="37"/>
  <c r="C54" i="37"/>
  <c r="C53" i="37"/>
  <c r="I49" i="37"/>
  <c r="I48" i="37"/>
  <c r="I47" i="37"/>
  <c r="I44" i="37"/>
  <c r="I43" i="37"/>
  <c r="I42" i="37"/>
  <c r="I39" i="37"/>
  <c r="I38" i="37"/>
  <c r="I37" i="37"/>
  <c r="I34" i="37"/>
  <c r="I33" i="37"/>
  <c r="I32" i="37"/>
  <c r="I31" i="37"/>
  <c r="I28" i="37"/>
  <c r="I27" i="37"/>
  <c r="I26" i="37"/>
  <c r="I25" i="37"/>
  <c r="I24" i="37"/>
  <c r="I23" i="37"/>
  <c r="I22" i="37"/>
  <c r="I21" i="37"/>
  <c r="I20" i="37"/>
  <c r="I19" i="37"/>
  <c r="I16" i="37"/>
  <c r="I15" i="37"/>
  <c r="I14" i="37"/>
  <c r="I13" i="37"/>
  <c r="I12" i="37"/>
  <c r="I11" i="37"/>
  <c r="I10" i="37"/>
  <c r="I9" i="37"/>
  <c r="I8" i="37"/>
  <c r="B5" i="37"/>
  <c r="B4" i="37"/>
  <c r="B3" i="37"/>
  <c r="F2" i="37"/>
  <c r="B2" i="37"/>
  <c r="F62" i="29"/>
  <c r="D8" i="14" s="1"/>
  <c r="F59" i="29"/>
  <c r="C55" i="29"/>
  <c r="F55" i="29" s="1"/>
  <c r="F54" i="29"/>
  <c r="C54" i="29"/>
  <c r="C53" i="29"/>
  <c r="I49" i="29"/>
  <c r="I48" i="29"/>
  <c r="I47" i="29"/>
  <c r="I44" i="29"/>
  <c r="I43" i="29"/>
  <c r="I42" i="29"/>
  <c r="I39" i="29"/>
  <c r="I38" i="29"/>
  <c r="I37" i="29"/>
  <c r="I34" i="29"/>
  <c r="I33" i="29"/>
  <c r="I32" i="29"/>
  <c r="I31" i="29"/>
  <c r="I28" i="29"/>
  <c r="I27" i="29"/>
  <c r="I26" i="29"/>
  <c r="I25" i="29"/>
  <c r="I24" i="29"/>
  <c r="I23" i="29"/>
  <c r="I22" i="29"/>
  <c r="I21" i="29"/>
  <c r="I20" i="29"/>
  <c r="I19" i="29"/>
  <c r="I16" i="29"/>
  <c r="I15" i="29"/>
  <c r="I14" i="29"/>
  <c r="I13" i="29"/>
  <c r="I12" i="29"/>
  <c r="I11" i="29"/>
  <c r="I10" i="29"/>
  <c r="I9" i="29"/>
  <c r="I8" i="29"/>
  <c r="B5" i="29"/>
  <c r="B4" i="29"/>
  <c r="B3" i="29"/>
  <c r="F2" i="29"/>
  <c r="B2" i="29"/>
  <c r="F59" i="32"/>
  <c r="F62" i="32" s="1"/>
  <c r="D7" i="14" s="1"/>
  <c r="C55" i="32"/>
  <c r="C54" i="32"/>
  <c r="F54" i="32" s="1"/>
  <c r="C53" i="32"/>
  <c r="I49" i="32"/>
  <c r="I48" i="32"/>
  <c r="I47" i="32"/>
  <c r="I44" i="32"/>
  <c r="I43" i="32"/>
  <c r="I42" i="32"/>
  <c r="I39" i="32"/>
  <c r="I38" i="32"/>
  <c r="I37" i="32"/>
  <c r="I34" i="32"/>
  <c r="I33" i="32"/>
  <c r="I32" i="32"/>
  <c r="I31" i="32"/>
  <c r="I28" i="32"/>
  <c r="I27" i="32"/>
  <c r="I26" i="32"/>
  <c r="I25" i="32"/>
  <c r="I24" i="32"/>
  <c r="I23" i="32"/>
  <c r="I22" i="32"/>
  <c r="I21" i="32"/>
  <c r="I20" i="32"/>
  <c r="I19" i="32"/>
  <c r="I16" i="32"/>
  <c r="I15" i="32"/>
  <c r="I14" i="32"/>
  <c r="I13" i="32"/>
  <c r="I12" i="32"/>
  <c r="I11" i="32"/>
  <c r="I10" i="32"/>
  <c r="I9" i="32"/>
  <c r="I8" i="32"/>
  <c r="B5" i="32"/>
  <c r="B4" i="32"/>
  <c r="B3" i="32"/>
  <c r="F2" i="32"/>
  <c r="B2" i="32"/>
  <c r="F59" i="34"/>
  <c r="F62" i="34" s="1"/>
  <c r="D6" i="14" s="1"/>
  <c r="F55" i="34"/>
  <c r="C55" i="34"/>
  <c r="C54" i="34"/>
  <c r="F54" i="34" s="1"/>
  <c r="C53" i="34"/>
  <c r="I49" i="34"/>
  <c r="I48" i="34"/>
  <c r="I47" i="34"/>
  <c r="I44" i="34"/>
  <c r="I43" i="34"/>
  <c r="I42" i="34"/>
  <c r="I39" i="34"/>
  <c r="I38" i="34"/>
  <c r="I37" i="34"/>
  <c r="I34" i="34"/>
  <c r="I33" i="34"/>
  <c r="I32" i="34"/>
  <c r="I31" i="34"/>
  <c r="I28" i="34"/>
  <c r="I27" i="34"/>
  <c r="I26" i="34"/>
  <c r="I25" i="34"/>
  <c r="I24" i="34"/>
  <c r="I23" i="34"/>
  <c r="I22" i="34"/>
  <c r="I21" i="34"/>
  <c r="I20" i="34"/>
  <c r="I19" i="34"/>
  <c r="I16" i="34"/>
  <c r="I15" i="34"/>
  <c r="I14" i="34"/>
  <c r="I13" i="34"/>
  <c r="I12" i="34"/>
  <c r="I11" i="34"/>
  <c r="I10" i="34"/>
  <c r="I9" i="34"/>
  <c r="I8" i="34"/>
  <c r="B5" i="34"/>
  <c r="B4" i="34"/>
  <c r="B3" i="34"/>
  <c r="F2" i="34"/>
  <c r="B2" i="34"/>
  <c r="F62" i="33"/>
  <c r="D5" i="14" s="1"/>
  <c r="F59" i="33"/>
  <c r="C55" i="33"/>
  <c r="F55" i="33" s="1"/>
  <c r="C54" i="33"/>
  <c r="F54" i="33" s="1"/>
  <c r="C53" i="33"/>
  <c r="I49" i="33"/>
  <c r="I48" i="33"/>
  <c r="I47" i="33"/>
  <c r="I44" i="33"/>
  <c r="I43" i="33"/>
  <c r="I42" i="33"/>
  <c r="I39" i="33"/>
  <c r="I38" i="33"/>
  <c r="I37" i="33"/>
  <c r="I34" i="33"/>
  <c r="I33" i="33"/>
  <c r="I32" i="33"/>
  <c r="I31" i="33"/>
  <c r="I28" i="33"/>
  <c r="I27" i="33"/>
  <c r="I26" i="33"/>
  <c r="I25" i="33"/>
  <c r="I24" i="33"/>
  <c r="I23" i="33"/>
  <c r="I22" i="33"/>
  <c r="I21" i="33"/>
  <c r="I20" i="33"/>
  <c r="I19" i="33"/>
  <c r="I16" i="33"/>
  <c r="I15" i="33"/>
  <c r="I14" i="33"/>
  <c r="I13" i="33"/>
  <c r="I12" i="33"/>
  <c r="I11" i="33"/>
  <c r="I10" i="33"/>
  <c r="I9" i="33"/>
  <c r="I8" i="33"/>
  <c r="B5" i="33"/>
  <c r="B4" i="33"/>
  <c r="B3" i="33"/>
  <c r="F2" i="33"/>
  <c r="B2" i="33"/>
  <c r="F59" i="31"/>
  <c r="F62" i="31" s="1"/>
  <c r="D4" i="14" s="1"/>
  <c r="C55" i="31"/>
  <c r="F55" i="31" s="1"/>
  <c r="F54" i="31"/>
  <c r="C54" i="31"/>
  <c r="C53" i="31"/>
  <c r="C50" i="31"/>
  <c r="I49" i="31"/>
  <c r="I48" i="31"/>
  <c r="I47" i="31"/>
  <c r="C45" i="31"/>
  <c r="I44" i="31"/>
  <c r="I43" i="31"/>
  <c r="I42" i="31"/>
  <c r="C40" i="31"/>
  <c r="I39" i="31"/>
  <c r="I38" i="31"/>
  <c r="I37" i="31"/>
  <c r="C35" i="31"/>
  <c r="I34" i="31"/>
  <c r="I33" i="31"/>
  <c r="I32" i="31"/>
  <c r="I31" i="31"/>
  <c r="C29" i="31"/>
  <c r="I28" i="31"/>
  <c r="I27" i="31"/>
  <c r="I26" i="31"/>
  <c r="I25" i="31"/>
  <c r="I24" i="31"/>
  <c r="I23" i="31"/>
  <c r="I22" i="31"/>
  <c r="I21" i="31"/>
  <c r="I20" i="31"/>
  <c r="I19" i="31"/>
  <c r="C17" i="31"/>
  <c r="I16" i="31"/>
  <c r="I15" i="31"/>
  <c r="I14" i="31"/>
  <c r="I13" i="31"/>
  <c r="I12" i="31"/>
  <c r="I11" i="31"/>
  <c r="I10" i="31"/>
  <c r="I9" i="31"/>
  <c r="I8" i="31"/>
  <c r="B5" i="31"/>
  <c r="B4" i="31"/>
  <c r="B3" i="31"/>
  <c r="F2" i="31"/>
  <c r="B2" i="31"/>
  <c r="F59" i="24"/>
  <c r="C55" i="24"/>
  <c r="C54" i="24"/>
  <c r="C53" i="24"/>
  <c r="C50" i="24"/>
  <c r="I49" i="24"/>
  <c r="I48" i="24"/>
  <c r="I47" i="24"/>
  <c r="C45" i="24"/>
  <c r="I44" i="24"/>
  <c r="I43" i="24"/>
  <c r="I42" i="24"/>
  <c r="I39" i="24"/>
  <c r="I38" i="24"/>
  <c r="I37" i="24"/>
  <c r="C35" i="24"/>
  <c r="I34" i="24"/>
  <c r="I33" i="24"/>
  <c r="I32" i="24"/>
  <c r="I31" i="24"/>
  <c r="C29" i="24"/>
  <c r="I28" i="24"/>
  <c r="I27" i="24"/>
  <c r="I26" i="24"/>
  <c r="I25" i="24"/>
  <c r="I24" i="24"/>
  <c r="I23" i="24"/>
  <c r="I22" i="24"/>
  <c r="I21" i="24"/>
  <c r="I20" i="24"/>
  <c r="I19" i="24"/>
  <c r="C17" i="24"/>
  <c r="I16" i="24"/>
  <c r="I15" i="24"/>
  <c r="I14" i="24"/>
  <c r="I13" i="24"/>
  <c r="I12" i="24"/>
  <c r="I11" i="24"/>
  <c r="I10" i="24"/>
  <c r="I9" i="24"/>
  <c r="I8" i="24"/>
  <c r="F60" i="32" l="1"/>
  <c r="C56" i="42"/>
  <c r="F54" i="42" s="1"/>
  <c r="F60" i="24"/>
  <c r="F62" i="24" s="1"/>
  <c r="D3" i="14" s="1"/>
  <c r="C56" i="60"/>
  <c r="F58" i="60" s="1"/>
  <c r="F60" i="60"/>
  <c r="F60" i="58"/>
  <c r="C56" i="57"/>
  <c r="F58" i="57" s="1"/>
  <c r="F53" i="57"/>
  <c r="F53" i="56"/>
  <c r="F60" i="56"/>
  <c r="C56" i="55"/>
  <c r="G27" i="14" s="1"/>
  <c r="F60" i="55"/>
  <c r="F53" i="54"/>
  <c r="F60" i="54"/>
  <c r="F53" i="53"/>
  <c r="F56" i="53" s="1"/>
  <c r="F60" i="52"/>
  <c r="F60" i="51"/>
  <c r="F53" i="49"/>
  <c r="F53" i="48"/>
  <c r="F60" i="47"/>
  <c r="F60" i="46"/>
  <c r="C56" i="45"/>
  <c r="F60" i="45"/>
  <c r="C58" i="14"/>
  <c r="F60" i="44"/>
  <c r="F60" i="42"/>
  <c r="F60" i="41"/>
  <c r="E25" i="14"/>
  <c r="F60" i="40"/>
  <c r="F62" i="40" s="1"/>
  <c r="E6" i="14" s="1"/>
  <c r="C89" i="14"/>
  <c r="C56" i="39"/>
  <c r="C91" i="14"/>
  <c r="F53" i="39"/>
  <c r="C56" i="38"/>
  <c r="E23" i="14" s="1"/>
  <c r="F60" i="38"/>
  <c r="F60" i="37"/>
  <c r="C83" i="14"/>
  <c r="C85" i="14"/>
  <c r="C95" i="14"/>
  <c r="C56" i="29"/>
  <c r="F60" i="29"/>
  <c r="F53" i="32"/>
  <c r="F53" i="34"/>
  <c r="F56" i="34" s="1"/>
  <c r="F60" i="34"/>
  <c r="F53" i="33"/>
  <c r="F60" i="33"/>
  <c r="C62" i="14"/>
  <c r="C72" i="14"/>
  <c r="C76" i="14"/>
  <c r="C96" i="14"/>
  <c r="C52" i="14"/>
  <c r="C66" i="14"/>
  <c r="C60" i="14"/>
  <c r="C70" i="14"/>
  <c r="C77" i="14"/>
  <c r="C90" i="14"/>
  <c r="C54" i="14"/>
  <c r="C64" i="14"/>
  <c r="C74" i="14"/>
  <c r="C84" i="14"/>
  <c r="C97" i="14"/>
  <c r="C4" i="14"/>
  <c r="A4" i="14" s="1"/>
  <c r="C5" i="14"/>
  <c r="A5" i="14" s="1"/>
  <c r="C12" i="14"/>
  <c r="C16" i="14"/>
  <c r="C13" i="14"/>
  <c r="C17" i="14"/>
  <c r="C8" i="14"/>
  <c r="A8" i="14" s="1"/>
  <c r="C7" i="14"/>
  <c r="A7" i="14" s="1"/>
  <c r="C14" i="14"/>
  <c r="G55" i="14"/>
  <c r="G44" i="14" s="1"/>
  <c r="D98" i="14"/>
  <c r="E92" i="14"/>
  <c r="E45" i="14" s="1"/>
  <c r="G98" i="14"/>
  <c r="G47" i="14" s="1"/>
  <c r="D55" i="14"/>
  <c r="E86" i="14"/>
  <c r="E46" i="14" s="1"/>
  <c r="G92" i="14"/>
  <c r="G45" i="14" s="1"/>
  <c r="D80" i="14"/>
  <c r="F86" i="14"/>
  <c r="F46" i="14" s="1"/>
  <c r="F56" i="57"/>
  <c r="F18" i="14"/>
  <c r="G80" i="14"/>
  <c r="G43" i="14" s="1"/>
  <c r="C56" i="51"/>
  <c r="G23" i="14" s="1"/>
  <c r="E55" i="14"/>
  <c r="E44" i="14" s="1"/>
  <c r="E32" i="14"/>
  <c r="C56" i="32"/>
  <c r="F58" i="32" s="1"/>
  <c r="F54" i="37"/>
  <c r="F53" i="51"/>
  <c r="F56" i="51" s="1"/>
  <c r="C56" i="53"/>
  <c r="D18" i="14"/>
  <c r="F55" i="14"/>
  <c r="F44" i="14" s="1"/>
  <c r="D67" i="14"/>
  <c r="E67" i="14"/>
  <c r="E42" i="14" s="1"/>
  <c r="F67" i="14"/>
  <c r="F42" i="14" s="1"/>
  <c r="C56" i="31"/>
  <c r="D23" i="14" s="1"/>
  <c r="C56" i="33"/>
  <c r="F58" i="55"/>
  <c r="G18" i="14"/>
  <c r="G67" i="14"/>
  <c r="G42" i="14" s="1"/>
  <c r="E98" i="14"/>
  <c r="E47" i="14" s="1"/>
  <c r="C56" i="24"/>
  <c r="D22" i="14" s="1"/>
  <c r="C56" i="41"/>
  <c r="E26" i="14" s="1"/>
  <c r="F56" i="48"/>
  <c r="D92" i="14"/>
  <c r="F98" i="14"/>
  <c r="F47" i="14" s="1"/>
  <c r="F56" i="41"/>
  <c r="C56" i="46"/>
  <c r="F24" i="14" s="1"/>
  <c r="F53" i="45"/>
  <c r="F56" i="45" s="1"/>
  <c r="D86" i="14"/>
  <c r="F92" i="14"/>
  <c r="F45" i="14" s="1"/>
  <c r="F53" i="60"/>
  <c r="F56" i="60" s="1"/>
  <c r="F54" i="39"/>
  <c r="C56" i="61"/>
  <c r="F58" i="61" s="1"/>
  <c r="E80" i="14"/>
  <c r="G86" i="14"/>
  <c r="G46" i="14" s="1"/>
  <c r="C56" i="58"/>
  <c r="F58" i="58" s="1"/>
  <c r="E18" i="14"/>
  <c r="F80" i="14"/>
  <c r="F43" i="14" s="1"/>
  <c r="F56" i="33"/>
  <c r="E24" i="14"/>
  <c r="F58" i="39"/>
  <c r="G25" i="14"/>
  <c r="F58" i="53"/>
  <c r="D27" i="14"/>
  <c r="F58" i="29"/>
  <c r="F58" i="31"/>
  <c r="D24" i="14"/>
  <c r="F58" i="33"/>
  <c r="D26" i="14"/>
  <c r="C56" i="34"/>
  <c r="F23" i="14"/>
  <c r="F58" i="45"/>
  <c r="C56" i="48"/>
  <c r="G32" i="14"/>
  <c r="F54" i="50"/>
  <c r="C56" i="52"/>
  <c r="F53" i="52"/>
  <c r="F56" i="52" s="1"/>
  <c r="F53" i="31"/>
  <c r="F56" i="31" s="1"/>
  <c r="E31" i="14"/>
  <c r="E33" i="14"/>
  <c r="F32" i="14"/>
  <c r="C56" i="44"/>
  <c r="F53" i="44" s="1"/>
  <c r="F9" i="14"/>
  <c r="F53" i="46"/>
  <c r="F56" i="46" s="1"/>
  <c r="C56" i="47"/>
  <c r="F53" i="47"/>
  <c r="F56" i="47" s="1"/>
  <c r="G33" i="14"/>
  <c r="F58" i="51"/>
  <c r="G9" i="14"/>
  <c r="F53" i="58"/>
  <c r="F56" i="58" s="1"/>
  <c r="C56" i="59"/>
  <c r="F58" i="59" s="1"/>
  <c r="F53" i="59"/>
  <c r="F56" i="59" s="1"/>
  <c r="F62" i="56"/>
  <c r="H3" i="14" s="1"/>
  <c r="H9" i="14" s="1"/>
  <c r="D32" i="14"/>
  <c r="F53" i="29"/>
  <c r="F56" i="29" s="1"/>
  <c r="F53" i="37"/>
  <c r="F55" i="37"/>
  <c r="F53" i="38"/>
  <c r="F56" i="38" s="1"/>
  <c r="G31" i="14"/>
  <c r="F56" i="54"/>
  <c r="C56" i="54"/>
  <c r="D31" i="14"/>
  <c r="D33" i="14"/>
  <c r="C56" i="37"/>
  <c r="F31" i="14"/>
  <c r="F33" i="14"/>
  <c r="F56" i="49"/>
  <c r="C56" i="49"/>
  <c r="C56" i="50"/>
  <c r="F53" i="50" s="1"/>
  <c r="F53" i="55"/>
  <c r="F56" i="55" s="1"/>
  <c r="F56" i="56"/>
  <c r="C56" i="56"/>
  <c r="F58" i="56" s="1"/>
  <c r="F53" i="61"/>
  <c r="F56" i="61" s="1"/>
  <c r="F55" i="32" l="1"/>
  <c r="F56" i="32" s="1"/>
  <c r="F54" i="44"/>
  <c r="F56" i="44" s="1"/>
  <c r="C6" i="14"/>
  <c r="A6" i="14" s="1"/>
  <c r="E9" i="14"/>
  <c r="F53" i="42"/>
  <c r="F55" i="42"/>
  <c r="F54" i="40"/>
  <c r="F55" i="40"/>
  <c r="F53" i="40"/>
  <c r="F58" i="40"/>
  <c r="F55" i="24"/>
  <c r="F58" i="41"/>
  <c r="F56" i="39"/>
  <c r="F58" i="38"/>
  <c r="C45" i="14"/>
  <c r="F54" i="24"/>
  <c r="G48" i="14"/>
  <c r="F48" i="14"/>
  <c r="D42" i="14"/>
  <c r="C67" i="14"/>
  <c r="D47" i="14"/>
  <c r="C98" i="14"/>
  <c r="D45" i="14"/>
  <c r="C92" i="14"/>
  <c r="D46" i="14"/>
  <c r="C86" i="14"/>
  <c r="D43" i="14"/>
  <c r="C80" i="14"/>
  <c r="D44" i="14"/>
  <c r="C55" i="14"/>
  <c r="C47" i="14"/>
  <c r="C31" i="14"/>
  <c r="C23" i="14"/>
  <c r="C33" i="14"/>
  <c r="C32" i="14"/>
  <c r="C18" i="14"/>
  <c r="C3" i="14"/>
  <c r="A3" i="14" s="1"/>
  <c r="D9" i="14"/>
  <c r="F53" i="24"/>
  <c r="F58" i="24"/>
  <c r="F56" i="50"/>
  <c r="C46" i="14"/>
  <c r="C42" i="14"/>
  <c r="C43" i="14"/>
  <c r="E43" i="14"/>
  <c r="E48" i="14" s="1"/>
  <c r="C44" i="14"/>
  <c r="F58" i="46"/>
  <c r="E34" i="14"/>
  <c r="E38" i="14" s="1"/>
  <c r="F25" i="14"/>
  <c r="F58" i="47"/>
  <c r="F22" i="14"/>
  <c r="F58" i="44"/>
  <c r="D25" i="14"/>
  <c r="F58" i="34"/>
  <c r="D34" i="14"/>
  <c r="G34" i="14"/>
  <c r="G39" i="14" s="1"/>
  <c r="E27" i="14"/>
  <c r="F58" i="42"/>
  <c r="F26" i="14"/>
  <c r="C26" i="14" s="1"/>
  <c r="F58" i="48"/>
  <c r="G22" i="14"/>
  <c r="F58" i="50"/>
  <c r="E22" i="14"/>
  <c r="F58" i="37"/>
  <c r="F27" i="14"/>
  <c r="F58" i="49"/>
  <c r="F34" i="14"/>
  <c r="F39" i="14" s="1"/>
  <c r="G26" i="14"/>
  <c r="F58" i="54"/>
  <c r="F56" i="37"/>
  <c r="G24" i="14"/>
  <c r="C24" i="14" s="1"/>
  <c r="F58" i="52"/>
  <c r="F56" i="42" l="1"/>
  <c r="C9" i="14"/>
  <c r="C43" i="35" s="1"/>
  <c r="D72" i="36" s="1"/>
  <c r="F72" i="36" s="1"/>
  <c r="F56" i="40"/>
  <c r="F56" i="24"/>
  <c r="D48" i="14"/>
  <c r="C48" i="14"/>
  <c r="C27" i="14"/>
  <c r="E28" i="14"/>
  <c r="C22" i="14"/>
  <c r="D28" i="14"/>
  <c r="C25" i="14"/>
  <c r="D37" i="14"/>
  <c r="C34" i="14"/>
  <c r="C37" i="14" s="1"/>
  <c r="F37" i="14"/>
  <c r="G38" i="14"/>
  <c r="G37" i="14"/>
  <c r="E39" i="14"/>
  <c r="D38" i="14"/>
  <c r="D39" i="14"/>
  <c r="F28" i="14"/>
  <c r="G28" i="14"/>
  <c r="F38" i="14"/>
  <c r="E37" i="14"/>
  <c r="C39" i="14" l="1"/>
  <c r="C38" i="14"/>
  <c r="C28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00000000-0006-0000-0000-000001000000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00000000-0006-0000-0000-000002000000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00000000-0006-0000-0100-000001000000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00000000-0006-0000-0100-000002000000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5B914278-C39E-47BD-9C5A-7CB67F144B45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B7B10ECF-315B-468B-A120-802646A8B6B6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2E60CB86-08B4-4F8D-8E48-CF60883EA36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6F9B4BE5-3A23-44E0-AE8F-C7E675299E2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C907A587-5326-49EE-A3DD-B202C739350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0CD33D91-1A8E-4BC1-B26C-426CC9A1186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A00F0C12-49B8-480F-B162-557D730FA7E8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CA141F7E-6282-49DA-ADDF-585A8CB29F30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A679932E-8063-4284-AD35-D34F6DC34A32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E6851645-C094-41BA-9534-BBC54E58D32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D111A05A-0ABA-4F7C-99C9-890D5ABA6403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283BDD77-3750-4072-8590-40F5BE4C419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9AD011F2-526D-407D-8CFF-9983EDF83EB7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28AC7BB6-2E68-4083-BD95-97ED9503CA0B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F9A97B66-E0A4-4F0C-B501-C8BDD782686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53FB8B3F-4B14-4A7E-8C39-FA6B170BD475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C092AB1C-1C8F-4E6D-AB24-53EEB9276DE3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DE883283-7289-4DA9-A0FA-191266822A5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227B637C-DCED-4557-9DC7-658C1E5EECF3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0B3A499D-0B3E-4E6D-9737-9819E16AE37F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6390712E-34EF-403C-BA90-6333363779F2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2997FE30-65B0-44A4-AB00-CB76102C6899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3B1AC091-6132-4B70-9EA6-2DB4BFD90A5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959ABD8C-281F-4CDE-8875-4D94243E643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6ED07A74-07A7-4AB2-99F3-10FF9B319B8A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65A4B568-556A-4AC3-91FB-8CF595BDB7FC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731C59A5-29B9-4481-859D-A5594D0595A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F3DC3822-5720-4EC3-A53B-CFC60697AD1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B8A9683-929E-4AAC-B37B-6DE8ABAA8EB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4672D828-3FA4-4BF1-BB43-8A910573DD3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86163D00-A957-4510-93F2-7EEA7B79E4D1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B1D591D0-50C9-4CE9-801E-655B669A8FB9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4E89BC08-7370-4236-96B3-AAC99D757B2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7834EE13-86BE-4B33-8A4F-FBB137F9F05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E8D2CE4-A7EA-4CC5-BE8B-8875CACD416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F0F223BF-3EB0-491E-8CD3-89F3FF8F015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BDBDF4FE-E349-4676-AFD7-DDDBA2626B60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16A233EA-85A2-40F2-A59B-CEF86E9FF0C0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1217436D-A45F-4B17-B84B-E9A9250EC2B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918F8489-C7BD-4175-AF7F-52FAA5F0876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93607CF0-DAD7-49B1-95DF-DD88A3D0FE02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FD9CF5EA-6524-481C-B133-92659991B33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A044A1C4-04B7-489F-AD22-77D0EE4C9D96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4F4D481D-E2DC-4E23-9D96-37DBA961A6C1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08BC5002-AE1F-4ADB-97CC-4FE325DA19D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B068FA72-F07A-48ED-AAFC-7065FB0F5B26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D350ADEC-492A-4247-9B4A-3C8D5C52D46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8ED1B4B3-F23A-4A4B-9667-169B3EDCDF4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C0D357D6-DCB8-4F60-AF76-C96FEF658A33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229E0C5A-7904-4BB3-97A7-B23653A815D7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6A4DF61A-1CA8-4B72-B09F-A95042D0B4F4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6220B6C8-9978-4438-9CF8-DD04CDB96385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8ABA6DBA-855A-46CB-9CF7-A1DD3FB4681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4BB543EA-A1D1-420F-916D-3343E6AFF06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B852C314-A989-442F-B22A-D853515C8ECA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FFD5DB29-9E9C-4520-A206-6720D00238FB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37C3E4A2-2194-4D18-8B1A-6A93E8F1B4E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E232FB85-77D9-482F-83CD-4F0CCEB2826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FE0787B9-8F5E-4D24-A49F-05126746DCE3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E27323B1-4FB0-423F-A949-70425ED50D9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6FD0F4BF-2265-42F1-8F04-C959212A8037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71790927-6B3F-4337-83DC-B0F17977D813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C7CF3592-9ACF-4C35-871C-0DF6A4ADD295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D536C9E7-1B8F-4594-923F-A0CBC449D693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FFCC022B-B350-4514-B95C-13533E77F43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7F15C965-AE50-4E92-8382-B568FD6B4FC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B54C1150-5267-45D0-BCFA-8753441FCDE4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6DDADE44-E235-4FA7-9238-2107610864F8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6A3FA1F5-C756-4D71-938D-9EB27A2B40E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413A5888-07FA-44F4-B128-F6A2AB55FC4C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B2B2FF89-FF34-46D9-A11A-94A39A0E739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DB7CE4CE-85C9-43D7-9288-E5A1A8BADF4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37AAC3E1-37C0-4598-9E52-A7F18C77038B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D4835524-DBA1-4C48-8D25-E19939FF5FC7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6AECCE49-5289-4726-A49A-C72EC881342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5E26C62B-41EF-4CD8-AA3E-6FD34642236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5F998B8A-8013-4B6E-9D6B-B361F06C5402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18C85FCB-EB89-4D00-8D09-EF238EA4735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A52DBF47-CDCF-4FB1-BF2C-9FD3F5544DAE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B3BDEBC9-FAD8-4EF5-A70E-01FB8D3616C7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6F8499A5-5A00-4134-8D9B-2D86A5D2812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573C2FC7-E932-44CE-85BB-9EEA0C5B0A8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4D418E91-A917-42B8-A293-C616FE4480E5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2B346787-C562-4BDB-985D-A6AB4322B61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6572FDCC-0993-4248-94FA-C32BA081E301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7226E832-EDC2-41C2-846D-FC1A6CA044D4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B14285FD-9C00-47A3-905B-8F318C88896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EE1E3927-8EE8-49FD-88B3-DCD11138F5A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6079A69C-158D-4EF6-AF52-94FDE36D52E2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A346C0D3-4F64-4487-AE42-B6DFC80A5459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1BA3FAED-8854-4A74-9817-CB9421EEF317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B8A67D23-C90C-4F10-97F8-CE40033E48AF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96B19743-8DBB-48F8-9EDA-0958FE9FE8F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0A07D11B-B9E7-42E5-B5F5-B53B55806394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964C574-9506-45CA-A568-9573ABFCD90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48200EC8-7C37-4EC5-A257-B24A1C3AD32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A3B72839-0104-40DD-80DD-BAB662655610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B021F136-C8D7-437F-A1D6-B17D805F500D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5E4BB146-0891-492F-B929-AF0792C7460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8C5FF64B-82A3-490D-BD0B-307A084C19FC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A2219DA3-05AA-40DD-AE44-92D59450A7E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6AC2E299-1989-47AE-B84E-A88405077D69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E1FD12FA-A664-4F1E-B7C0-2F98FDFB8AFE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B0C4FCF2-BC09-4A2F-9075-FE0D6F34FC35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2D3E4EA5-BE64-4F97-8CCA-16778A6EA00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15DD55A0-C005-44CF-8BB6-4F8B0B7A02D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768C85D-9662-4EC2-8467-68B6BDB47317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8AB55FB3-DC12-40F7-A78B-ED23B4F3991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4A8D3387-DCD6-4636-9550-A953806E4812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A2C7BD77-CFD2-48C4-A6C2-C364A0020A23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14429D55-4AF1-4AF7-B864-916D1922EFA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26385155-AE21-4773-84A8-057EB532C573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5E51A49D-32AC-4AF8-B3EC-4CBCAA96DF0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2FC685FB-CAAD-43D8-BFC8-F4F3E859ECE2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9B44B544-C31B-4B28-B354-3FF6DCBA0B22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5B17F2AD-693F-4BF1-A4C3-3A0C5A8CE3B8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81537CB3-F5F6-4848-BB0F-07EDB90F511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12C9D798-F825-4439-ADBD-7726B3D7DC5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3AB1A890-2A04-4FEE-93DC-42AE4341016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9619829A-E783-43D1-9FA9-3BFAB2C44B5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818043CC-4661-4E34-B9A2-BF086EB7EABC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69866C39-2CC9-401F-91F2-B9BC42A007D2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70D012B2-6DB2-4551-A5B9-33A0B0FD1E7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16A7DF63-A9BD-48AB-9C92-F09E74E484E4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2475A181-F035-4366-B411-5852946403C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416BC40B-CBC8-4097-B251-D9CDB000DBB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206FA26C-1A5F-4C13-A710-FDE105971464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145ADFDB-5E6B-4334-99C1-C93A40252D14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A056173F-2524-438F-8D7D-F1C1C2BF66E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A75F3BB3-BC7A-41CD-A08C-2681FDBA74E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7D0CF33C-E7FF-4BA3-9556-B7D5F64E39C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64C6E68A-4FDF-447D-995A-61A2B3893A0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71529D99-253D-42FF-98CD-A813DCB1DF98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47027EF7-1FC8-4671-B79A-872788D8FD82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50581368-2FD7-4CBD-B192-8457CEBC34AB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A48BB1A4-E894-4ABA-8A69-92A77119A8E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EC515894-8E81-4D7C-B444-468A36779E8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69623611-83D4-4819-B9FC-2470F00873DA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55CB6CCE-9315-45C1-ABBB-CB72AE5CD719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25EB402E-F3FC-4A75-90C7-9FC259DE03E2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64924AF1-6FD7-4006-B388-27C583FF6006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A744DF0E-02AD-4032-A2AA-C39E69487684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04EFDDC1-6EE5-4100-BE1D-8BEACE9CBF2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08A805BC-2CC8-4022-82DD-40F3962D5A56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46B92326-EB82-415F-976B-F39DA63ECA3E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15D9858A-5495-49D3-88CA-25E43E99047E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AC6C7C56-4027-4067-8588-BAB8FCEAD9A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D7E9A66E-327A-4F61-A3B7-81E0D074A68E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83E13EC0-FB47-4B80-BEFD-0AFB1D3CE2E9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4317C1A5-8B1E-4723-90C7-6C0C606E350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C8180DE9-F798-4CE1-BF35-909ACB811191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127592AB-2341-444E-B7EB-E898257DADB0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14B23628-DAB5-42AF-A0CE-06E9C2DEEBC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1BAA8B7E-C73E-463A-91AA-308BED84FF45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F5A53092-E38A-4119-8F61-F4EC4E9F3F3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32A0DA61-AD11-431E-8274-16AE848EAF78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497B3896-67BF-4920-A381-502BDA258EFB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4CE6C018-9A35-479E-98D2-B6F0B6B06C16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BB049DED-734F-4828-B57C-41B76EF145A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1383B9AB-6F80-463D-B18A-5C242725AC53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B1C22444-DB24-4438-8D57-27973A401BBD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26A42951-2F52-4CCD-AC88-C0E91533BF34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Gomes</author>
  </authors>
  <commentList>
    <comment ref="D7" authorId="0" shapeId="0" xr:uid="{B1A30883-D101-4202-AA0A-1C663A01BA52}">
      <text>
        <r>
          <rPr>
            <sz val="9"/>
            <color indexed="81"/>
            <rFont val="Segoe UI"/>
            <family val="2"/>
          </rPr>
          <t>Peso:
0,3 Desvio Leve
1,0 Desvio Médio
3,0 Desvio Grave</t>
        </r>
      </text>
    </comment>
    <comment ref="D18" authorId="0" shapeId="0" xr:uid="{32A812F7-1F7D-4306-89D6-52A90CBF24C3}">
      <text>
        <r>
          <rPr>
            <sz val="9"/>
            <color indexed="81"/>
            <rFont val="Segoe UI"/>
            <family val="2"/>
          </rPr>
          <t xml:space="preserve">Peso:
0,3 Desvio Leve
1,0 Desvio Médio
3,0 Desvio Grave
</t>
        </r>
      </text>
    </comment>
    <comment ref="D30" authorId="0" shapeId="0" xr:uid="{70822747-F019-4C94-AC95-C5BABE9C15B0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6" authorId="0" shapeId="0" xr:uid="{BBC1A32F-239D-4CB8-86F0-C145070A3566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1" authorId="0" shapeId="0" xr:uid="{F31EF245-6027-47B6-9CDA-2B8CC5E8D11F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46" authorId="0" shapeId="0" xr:uid="{8755399C-FB08-44A0-B4C8-61BA4CC0CFC1}">
      <text>
        <r>
          <rPr>
            <b/>
            <sz val="9"/>
            <color indexed="81"/>
            <rFont val="Segoe UI"/>
            <family val="2"/>
          </rPr>
          <t>Peso:
0,3 Desvio Leve
1,0 Desvio Médio
3,0 Desvio Grave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<sst xmlns="http://schemas.openxmlformats.org/spreadsheetml/2006/main" count="2795" uniqueCount="119">
  <si>
    <t>IDS - INDICADOR DE DESEMPENHO EM SEGURANÇA</t>
  </si>
  <si>
    <t>Local:</t>
  </si>
  <si>
    <t>Auditor Líder:</t>
  </si>
  <si>
    <t>Contratada:</t>
  </si>
  <si>
    <t>Auditor:</t>
  </si>
  <si>
    <t>Subcontratada:</t>
  </si>
  <si>
    <t>Data:</t>
  </si>
  <si>
    <t>Acompanhante:</t>
  </si>
  <si>
    <t>Hora:</t>
  </si>
  <si>
    <t>Nº de pessoas:</t>
  </si>
  <si>
    <t xml:space="preserve">GABARITO DE OBSERVAÇÃO </t>
  </si>
  <si>
    <t>USO DE EPI´S</t>
  </si>
  <si>
    <t>Qtd.</t>
  </si>
  <si>
    <t>Peso</t>
  </si>
  <si>
    <t>Comentário</t>
  </si>
  <si>
    <t>Capacete/Jugular</t>
  </si>
  <si>
    <t>Máscara Respiratória</t>
  </si>
  <si>
    <t>Óculos</t>
  </si>
  <si>
    <t>Protetor Facial</t>
  </si>
  <si>
    <t>Protetor Auricular</t>
  </si>
  <si>
    <t>Luvas</t>
  </si>
  <si>
    <t>Avental/jaleco</t>
  </si>
  <si>
    <t>Calçado de Segurança</t>
  </si>
  <si>
    <t>Cinto de Segurança</t>
  </si>
  <si>
    <t>Sub-total:</t>
  </si>
  <si>
    <t>POSIÇÃO DAS PESSOAS</t>
  </si>
  <si>
    <t>Bater contra/Ser atingido por</t>
  </si>
  <si>
    <t>Ficar preso</t>
  </si>
  <si>
    <t>Risco de queda</t>
  </si>
  <si>
    <t>Risco de queimadura</t>
  </si>
  <si>
    <t>Risco de choque elétrico</t>
  </si>
  <si>
    <t>Inalar/Absorver contaminantes</t>
  </si>
  <si>
    <t>Trabalho Sobreposto</t>
  </si>
  <si>
    <t>Ingerir contaminantes</t>
  </si>
  <si>
    <t>Postura inadequada</t>
  </si>
  <si>
    <t>Esforço inadequado</t>
  </si>
  <si>
    <t>AÇÃO QUANDO OBSERVADO</t>
  </si>
  <si>
    <t>Mudança de posição</t>
  </si>
  <si>
    <t>Paraliza a atividade</t>
  </si>
  <si>
    <t>Ajusta o EPI</t>
  </si>
  <si>
    <t>Adequa o serviço</t>
  </si>
  <si>
    <t xml:space="preserve">PROCEDIMENTOS </t>
  </si>
  <si>
    <t>Inadequados</t>
  </si>
  <si>
    <t>Não existem procedimentos escritos</t>
  </si>
  <si>
    <t>Adequados e não são seguidos</t>
  </si>
  <si>
    <t>FERRAMENTAS E EQUIPAMENTOS</t>
  </si>
  <si>
    <t>Impróprio para o serviço</t>
  </si>
  <si>
    <t>Usados incorretamente</t>
  </si>
  <si>
    <t>Em condição inseguras</t>
  </si>
  <si>
    <t>PADRÕES DE ORGANIZAÇÃO</t>
  </si>
  <si>
    <t>Local sujo/desorganizado</t>
  </si>
  <si>
    <t>Armazenamento inadequado</t>
  </si>
  <si>
    <t>Contaminação Ambiental</t>
  </si>
  <si>
    <t>Resumo dos desvios</t>
  </si>
  <si>
    <t>Grau de Severidade</t>
  </si>
  <si>
    <t>Qtd Desvios por Severidade</t>
  </si>
  <si>
    <t>%</t>
  </si>
  <si>
    <t>total</t>
  </si>
  <si>
    <t>Resumo da auditoria</t>
  </si>
  <si>
    <t>Q= Total de desvios encontrados</t>
  </si>
  <si>
    <t>N= Total de Pessoas Observadas</t>
  </si>
  <si>
    <r>
      <t xml:space="preserve">SD=  </t>
    </r>
    <r>
      <rPr>
        <b/>
        <sz val="10"/>
        <color indexed="59"/>
        <rFont val="Calibri"/>
        <family val="2"/>
      </rPr>
      <t>∑</t>
    </r>
    <r>
      <rPr>
        <b/>
        <sz val="10"/>
        <color indexed="59"/>
        <rFont val="Arial"/>
        <family val="2"/>
      </rPr>
      <t xml:space="preserve"> Desvios Comportamentais x Severidade dos Desvios</t>
    </r>
  </si>
  <si>
    <t>Nota Final IDS (%)</t>
  </si>
  <si>
    <t>IDS = 100 – (SD / N) * 100</t>
  </si>
  <si>
    <t>Pontos fortes</t>
  </si>
  <si>
    <t>Oportunidades de Melhorias</t>
  </si>
  <si>
    <t>NÃO APAGAR DESTA LINHA PARA BAIXO</t>
  </si>
  <si>
    <t>n/a</t>
  </si>
  <si>
    <t>&lt;======= preencha com "n/a" para não considerar os dados desta semana</t>
  </si>
  <si>
    <t>Média</t>
  </si>
  <si>
    <t>S1</t>
  </si>
  <si>
    <t>S2</t>
  </si>
  <si>
    <t>S3</t>
  </si>
  <si>
    <t>S4</t>
  </si>
  <si>
    <t>S5</t>
  </si>
  <si>
    <t>segunda</t>
  </si>
  <si>
    <t>terça</t>
  </si>
  <si>
    <t>quarta</t>
  </si>
  <si>
    <t>quinta</t>
  </si>
  <si>
    <t>sexta</t>
  </si>
  <si>
    <t>sábado</t>
  </si>
  <si>
    <t>Total</t>
  </si>
  <si>
    <t>Grau</t>
  </si>
  <si>
    <t>Baixo</t>
  </si>
  <si>
    <t>Médio</t>
  </si>
  <si>
    <t>Alto</t>
  </si>
  <si>
    <t>Categorias</t>
  </si>
  <si>
    <t>EPI</t>
  </si>
  <si>
    <t>Posição das Pessoas</t>
  </si>
  <si>
    <t>Ação Quando Observado</t>
  </si>
  <si>
    <t>Procedimentos</t>
  </si>
  <si>
    <t>Ferramentas e Equipamentos</t>
  </si>
  <si>
    <t>Padrões de Organização</t>
  </si>
  <si>
    <t>Informações da Contratada e da Avaliação</t>
  </si>
  <si>
    <t>Nome do projeto e Ilha:</t>
  </si>
  <si>
    <t>Local do site:</t>
  </si>
  <si>
    <t>Cliente:</t>
  </si>
  <si>
    <t>Disciplina:</t>
  </si>
  <si>
    <t>Mês e ano da avaliação:</t>
  </si>
  <si>
    <t>Avaliado por:</t>
  </si>
  <si>
    <t>Data de emissão:</t>
  </si>
  <si>
    <t>Horário de emissão:</t>
  </si>
  <si>
    <t>Resultados</t>
  </si>
  <si>
    <t>Resultados de IPF Anteriores</t>
  </si>
  <si>
    <t>Mês</t>
  </si>
  <si>
    <t>Resultado do Mês de Referência</t>
  </si>
  <si>
    <t>Média Anual</t>
  </si>
  <si>
    <t>Resultados de IDS</t>
  </si>
  <si>
    <t>HSE</t>
  </si>
  <si>
    <t>PerÍodo</t>
  </si>
  <si>
    <t>IPF DE HSE</t>
  </si>
  <si>
    <t>A nota de referência mínima para o IPF mensal é acima de 7 (sete).</t>
  </si>
  <si>
    <t>Quando o IPF for menor do que 7 (sete) deverá ser apresentado um plano de ação pela contratada</t>
  </si>
  <si>
    <t>IPF</t>
  </si>
  <si>
    <t>IDS</t>
  </si>
  <si>
    <t xml:space="preserve">     (1) Resultados do IDS - Semanal e Média do Més</t>
  </si>
  <si>
    <t>Resultados dos IDS</t>
  </si>
  <si>
    <t xml:space="preserve">     (2) Gráficos</t>
  </si>
  <si>
    <t>CMPC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</si>
</sst>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dd/mm/yy;@"/>
    <numFmt numFmtId="166" formatCode="0.0%"/>
    <numFmt numFmtId="167" formatCode="[$-409]h:mm\ AM/PM;@"/>
    <numFmt numFmtId="168" formatCode="mmmm\,\ yyyy;@"/>
  </numFmts>
  <fonts count="3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89999084444715716"/>
      <name val="Arial"/>
      <family val="2"/>
    </font>
    <font>
      <b/>
      <sz val="10"/>
      <color theme="0"/>
      <name val="Arial"/>
      <family val="2"/>
    </font>
    <font>
      <b/>
      <sz val="10"/>
      <color indexed="59"/>
      <name val="Calibri"/>
      <family val="2"/>
    </font>
    <font>
      <b/>
      <sz val="10"/>
      <color indexed="59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2" tint="-0.89999084444715716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rgb="FF00B050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7" fillId="0" borderId="0" applyFont="0" applyFill="0" applyBorder="0" applyAlignment="0" applyProtection="0"/>
    <xf numFmtId="0" fontId="2" fillId="0" borderId="0"/>
    <xf numFmtId="0" fontId="16" fillId="0" borderId="0"/>
    <xf numFmtId="0" fontId="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5"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0" fillId="3" borderId="0" xfId="0" applyFill="1"/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4" fillId="0" borderId="0" xfId="0" applyFont="1"/>
    <xf numFmtId="0" fontId="2" fillId="4" borderId="42" xfId="4" applyFont="1" applyFill="1" applyBorder="1" applyAlignment="1" applyProtection="1">
      <alignment horizontal="left"/>
      <protection locked="0"/>
    </xf>
    <xf numFmtId="2" fontId="2" fillId="4" borderId="42" xfId="2" applyNumberFormat="1" applyFill="1" applyBorder="1" applyAlignment="1" applyProtection="1">
      <alignment horizontal="left" vertical="center"/>
      <protection locked="0"/>
    </xf>
    <xf numFmtId="9" fontId="2" fillId="0" borderId="0" xfId="6" applyFont="1" applyProtection="1"/>
    <xf numFmtId="9" fontId="1" fillId="0" borderId="0" xfId="6" applyFont="1" applyAlignment="1" applyProtection="1">
      <alignment horizontal="center"/>
    </xf>
    <xf numFmtId="0" fontId="0" fillId="3" borderId="0" xfId="0" applyFill="1" applyAlignment="1">
      <alignment horizontal="center"/>
    </xf>
    <xf numFmtId="0" fontId="28" fillId="3" borderId="0" xfId="2" applyFont="1" applyFill="1"/>
    <xf numFmtId="0" fontId="28" fillId="3" borderId="0" xfId="2" applyFont="1" applyFill="1" applyAlignment="1">
      <alignment vertical="top" wrapText="1"/>
    </xf>
    <xf numFmtId="0" fontId="28" fillId="3" borderId="0" xfId="0" applyFont="1" applyFill="1" applyAlignment="1">
      <alignment vertical="top" wrapText="1"/>
    </xf>
    <xf numFmtId="0" fontId="28" fillId="3" borderId="0" xfId="0" applyFont="1" applyFill="1" applyAlignment="1">
      <alignment horizontal="left" vertical="top" wrapText="1"/>
    </xf>
    <xf numFmtId="0" fontId="28" fillId="3" borderId="0" xfId="2" applyFont="1" applyFill="1" applyAlignment="1">
      <alignment horizontal="left"/>
    </xf>
    <xf numFmtId="0" fontId="28" fillId="3" borderId="0" xfId="0" applyFont="1" applyFill="1" applyAlignment="1">
      <alignment horizontal="left" vertical="center" wrapText="1"/>
    </xf>
    <xf numFmtId="0" fontId="29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0" fontId="4" fillId="7" borderId="0" xfId="1" applyNumberFormat="1" applyFont="1" applyFill="1" applyAlignment="1" applyProtection="1">
      <alignment horizontal="center" vertical="center"/>
    </xf>
    <xf numFmtId="0" fontId="0" fillId="0" borderId="0" xfId="0" applyProtection="1">
      <protection locked="0"/>
    </xf>
    <xf numFmtId="0" fontId="14" fillId="0" borderId="0" xfId="0" applyFont="1" applyProtection="1">
      <protection locked="0"/>
    </xf>
    <xf numFmtId="0" fontId="1" fillId="3" borderId="0" xfId="0" applyFont="1" applyFill="1" applyAlignment="1" applyProtection="1">
      <alignment vertical="top" wrapText="1"/>
      <protection locked="0"/>
    </xf>
    <xf numFmtId="0" fontId="1" fillId="3" borderId="0" xfId="0" applyFont="1" applyFill="1" applyAlignment="1" applyProtection="1">
      <alignment horizontal="center" vertical="top" wrapText="1"/>
      <protection locked="0"/>
    </xf>
    <xf numFmtId="0" fontId="2" fillId="3" borderId="0" xfId="0" applyFont="1" applyFill="1" applyAlignment="1" applyProtection="1">
      <alignment vertical="top" wrapText="1"/>
      <protection locked="0"/>
    </xf>
    <xf numFmtId="0" fontId="0" fillId="3" borderId="0" xfId="0" applyFill="1" applyProtection="1">
      <protection locked="0"/>
    </xf>
    <xf numFmtId="14" fontId="2" fillId="4" borderId="42" xfId="4" applyNumberFormat="1" applyFont="1" applyFill="1" applyBorder="1" applyAlignment="1" applyProtection="1">
      <alignment horizontal="left"/>
      <protection locked="0"/>
    </xf>
    <xf numFmtId="49" fontId="2" fillId="4" borderId="42" xfId="4" applyNumberFormat="1" applyFont="1" applyFill="1" applyBorder="1" applyAlignment="1" applyProtection="1">
      <alignment horizontal="left"/>
      <protection locked="0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28" fillId="3" borderId="0" xfId="2" applyFont="1" applyFill="1" applyAlignment="1">
      <alignment horizontal="center" vertical="center"/>
    </xf>
    <xf numFmtId="1" fontId="28" fillId="3" borderId="0" xfId="2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0" fontId="28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0" fontId="7" fillId="3" borderId="0" xfId="1" applyNumberFormat="1" applyFont="1" applyFill="1" applyBorder="1" applyAlignment="1">
      <alignment horizontal="center" vertical="center"/>
    </xf>
    <xf numFmtId="0" fontId="28" fillId="3" borderId="0" xfId="2" applyFont="1" applyFill="1" applyAlignment="1">
      <alignment horizontal="center" vertical="center" wrapText="1"/>
    </xf>
    <xf numFmtId="0" fontId="1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 vertical="center"/>
    </xf>
    <xf numFmtId="0" fontId="1" fillId="2" borderId="7" xfId="0" applyFont="1" applyFill="1" applyBorder="1" applyAlignment="1">
      <alignment horizontal="left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4" borderId="8" xfId="0" applyFont="1" applyFill="1" applyBorder="1" applyAlignment="1">
      <alignment horizontal="center" vertical="top" wrapText="1"/>
    </xf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top" wrapText="1"/>
    </xf>
    <xf numFmtId="0" fontId="13" fillId="0" borderId="0" xfId="0" applyFont="1"/>
    <xf numFmtId="0" fontId="1" fillId="2" borderId="8" xfId="0" applyFont="1" applyFill="1" applyBorder="1" applyAlignment="1">
      <alignment horizontal="left"/>
    </xf>
    <xf numFmtId="0" fontId="2" fillId="2" borderId="15" xfId="0" applyFont="1" applyFill="1" applyBorder="1" applyAlignment="1" applyProtection="1">
      <alignment horizontal="left"/>
      <protection locked="0"/>
    </xf>
    <xf numFmtId="0" fontId="2" fillId="2" borderId="16" xfId="0" applyFont="1" applyFill="1" applyBorder="1" applyAlignment="1" applyProtection="1">
      <alignment horizontal="left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164" fontId="2" fillId="0" borderId="8" xfId="0" applyNumberFormat="1" applyFont="1" applyBorder="1" applyAlignment="1" applyProtection="1">
      <alignment horizontal="left" vertical="center"/>
      <protection locked="0"/>
    </xf>
    <xf numFmtId="1" fontId="11" fillId="0" borderId="24" xfId="0" applyNumberFormat="1" applyFont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 applyProtection="1">
      <alignment horizontal="center" vertical="top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1" fontId="2" fillId="2" borderId="8" xfId="0" applyNumberFormat="1" applyFont="1" applyFill="1" applyBorder="1" applyAlignment="1" applyProtection="1">
      <alignment horizontal="center" vertical="top" wrapText="1"/>
      <protection locked="0"/>
    </xf>
    <xf numFmtId="1" fontId="11" fillId="0" borderId="8" xfId="0" applyNumberFormat="1" applyFont="1" applyBorder="1" applyAlignment="1" applyProtection="1">
      <alignment horizontal="left" vertical="center"/>
      <protection locked="0"/>
    </xf>
    <xf numFmtId="1" fontId="11" fillId="0" borderId="8" xfId="0" applyNumberFormat="1" applyFont="1" applyBorder="1" applyAlignment="1" applyProtection="1">
      <alignment horizontal="center" vertical="center"/>
      <protection locked="0"/>
    </xf>
    <xf numFmtId="0" fontId="2" fillId="0" borderId="0" xfId="3" applyFont="1"/>
    <xf numFmtId="0" fontId="1" fillId="3" borderId="39" xfId="4" applyFont="1" applyFill="1" applyBorder="1" applyAlignment="1">
      <alignment vertical="center"/>
    </xf>
    <xf numFmtId="0" fontId="12" fillId="3" borderId="40" xfId="4" applyFont="1" applyFill="1" applyBorder="1" applyAlignment="1">
      <alignment horizontal="center" vertical="center"/>
    </xf>
    <xf numFmtId="0" fontId="2" fillId="0" borderId="0" xfId="2"/>
    <xf numFmtId="0" fontId="1" fillId="2" borderId="41" xfId="4" applyFont="1" applyFill="1" applyBorder="1" applyAlignment="1">
      <alignment horizontal="left" vertical="center"/>
    </xf>
    <xf numFmtId="14" fontId="1" fillId="0" borderId="41" xfId="4" applyNumberFormat="1" applyFont="1" applyBorder="1" applyAlignment="1">
      <alignment vertical="center"/>
    </xf>
    <xf numFmtId="164" fontId="1" fillId="0" borderId="41" xfId="4" applyNumberFormat="1" applyFont="1" applyBorder="1" applyAlignment="1">
      <alignment vertical="center"/>
    </xf>
    <xf numFmtId="0" fontId="1" fillId="10" borderId="41" xfId="2" applyFont="1" applyFill="1" applyBorder="1" applyAlignment="1">
      <alignment horizontal="center"/>
    </xf>
    <xf numFmtId="0" fontId="1" fillId="10" borderId="42" xfId="2" applyFont="1" applyFill="1" applyBorder="1" applyAlignment="1">
      <alignment horizontal="center"/>
    </xf>
    <xf numFmtId="17" fontId="2" fillId="4" borderId="41" xfId="2" applyNumberFormat="1" applyFill="1" applyBorder="1" applyAlignment="1">
      <alignment vertical="center"/>
    </xf>
    <xf numFmtId="17" fontId="1" fillId="0" borderId="41" xfId="2" applyNumberFormat="1" applyFont="1" applyBorder="1" applyAlignment="1">
      <alignment horizontal="right"/>
    </xf>
    <xf numFmtId="17" fontId="1" fillId="0" borderId="48" xfId="2" applyNumberFormat="1" applyFont="1" applyBorder="1" applyAlignment="1">
      <alignment horizontal="right"/>
    </xf>
    <xf numFmtId="2" fontId="1" fillId="0" borderId="43" xfId="2" applyNumberFormat="1" applyFont="1" applyBorder="1" applyAlignment="1">
      <alignment horizontal="center" vertical="center"/>
    </xf>
    <xf numFmtId="10" fontId="2" fillId="3" borderId="42" xfId="1" applyNumberFormat="1" applyFont="1" applyFill="1" applyBorder="1" applyAlignment="1" applyProtection="1">
      <alignment horizontal="center" vertical="center"/>
      <protection locked="0"/>
    </xf>
    <xf numFmtId="0" fontId="1" fillId="0" borderId="0" xfId="2" applyFont="1"/>
    <xf numFmtId="0" fontId="21" fillId="0" borderId="14" xfId="2" applyFont="1" applyBorder="1" applyAlignment="1">
      <alignment vertical="center"/>
    </xf>
    <xf numFmtId="0" fontId="1" fillId="0" borderId="0" xfId="2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23" fillId="0" borderId="0" xfId="2" applyFont="1" applyAlignment="1">
      <alignment vertical="center"/>
    </xf>
    <xf numFmtId="14" fontId="23" fillId="0" borderId="0" xfId="2" applyNumberFormat="1" applyFont="1" applyAlignment="1">
      <alignment horizontal="left" vertical="center"/>
    </xf>
    <xf numFmtId="167" fontId="23" fillId="0" borderId="0" xfId="2" applyNumberFormat="1" applyFont="1" applyAlignment="1">
      <alignment horizontal="left" vertical="center"/>
    </xf>
    <xf numFmtId="0" fontId="23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1" fontId="1" fillId="0" borderId="0" xfId="2" applyNumberFormat="1" applyFont="1" applyAlignment="1">
      <alignment horizontal="left" vertical="center"/>
    </xf>
    <xf numFmtId="1" fontId="1" fillId="0" borderId="0" xfId="2" applyNumberFormat="1" applyFont="1" applyAlignment="1">
      <alignment horizontal="left" vertical="center" wrapText="1"/>
    </xf>
    <xf numFmtId="0" fontId="2" fillId="0" borderId="0" xfId="2" applyAlignment="1">
      <alignment vertical="center"/>
    </xf>
    <xf numFmtId="0" fontId="2" fillId="0" borderId="46" xfId="2" applyBorder="1"/>
    <xf numFmtId="0" fontId="1" fillId="0" borderId="0" xfId="2" applyFont="1" applyAlignment="1">
      <alignment vertical="center"/>
    </xf>
    <xf numFmtId="2" fontId="4" fillId="7" borderId="0" xfId="2" applyNumberFormat="1" applyFont="1" applyFill="1" applyAlignment="1">
      <alignment horizontal="center" vertical="center"/>
    </xf>
    <xf numFmtId="0" fontId="1" fillId="0" borderId="47" xfId="2" applyFont="1" applyBorder="1" applyAlignment="1">
      <alignment vertical="center"/>
    </xf>
    <xf numFmtId="0" fontId="2" fillId="0" borderId="47" xfId="2" applyBorder="1"/>
    <xf numFmtId="0" fontId="1" fillId="0" borderId="0" xfId="2" applyFont="1" applyAlignment="1">
      <alignment vertical="top"/>
    </xf>
    <xf numFmtId="0" fontId="24" fillId="0" borderId="0" xfId="2" applyFont="1"/>
    <xf numFmtId="0" fontId="25" fillId="0" borderId="0" xfId="2" applyFont="1"/>
    <xf numFmtId="0" fontId="2" fillId="0" borderId="0" xfId="2" applyAlignment="1">
      <alignment horizontal="left"/>
    </xf>
    <xf numFmtId="0" fontId="1" fillId="0" borderId="0" xfId="3" applyFont="1"/>
    <xf numFmtId="0" fontId="20" fillId="0" borderId="0" xfId="3" applyFont="1" applyAlignment="1">
      <alignment horizontal="left" vertical="center" wrapText="1"/>
    </xf>
    <xf numFmtId="0" fontId="20" fillId="0" borderId="0" xfId="3" applyFont="1" applyAlignment="1">
      <alignment vertical="top" wrapText="1"/>
    </xf>
    <xf numFmtId="0" fontId="26" fillId="0" borderId="0" xfId="3" applyFont="1" applyAlignment="1">
      <alignment horizontal="right"/>
    </xf>
    <xf numFmtId="0" fontId="2" fillId="0" borderId="0" xfId="3" applyFont="1" applyAlignment="1">
      <alignment horizontal="left" vertical="top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0" fillId="0" borderId="27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28" xfId="0" applyBorder="1" applyAlignment="1" applyProtection="1">
      <alignment horizontal="left" vertical="top" wrapText="1"/>
      <protection locked="0"/>
    </xf>
    <xf numFmtId="0" fontId="0" fillId="0" borderId="29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0" xfId="0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horizontal="left" vertical="top" wrapText="1"/>
      <protection locked="0"/>
    </xf>
    <xf numFmtId="0" fontId="0" fillId="0" borderId="34" xfId="0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10" fontId="12" fillId="8" borderId="1" xfId="1" applyNumberFormat="1" applyFont="1" applyFill="1" applyBorder="1" applyAlignment="1" applyProtection="1">
      <alignment horizontal="center" vertical="center" wrapText="1"/>
    </xf>
    <xf numFmtId="10" fontId="12" fillId="8" borderId="2" xfId="1" applyNumberFormat="1" applyFont="1" applyFill="1" applyBorder="1" applyAlignment="1" applyProtection="1">
      <alignment horizontal="center" vertical="center" wrapText="1"/>
    </xf>
    <xf numFmtId="10" fontId="12" fillId="8" borderId="3" xfId="1" applyNumberFormat="1" applyFont="1" applyFill="1" applyBorder="1" applyAlignment="1" applyProtection="1">
      <alignment horizontal="center" vertical="center" wrapText="1"/>
    </xf>
    <xf numFmtId="9" fontId="15" fillId="8" borderId="1" xfId="1" applyFont="1" applyFill="1" applyBorder="1" applyAlignment="1" applyProtection="1">
      <alignment horizontal="center" vertical="center" wrapText="1"/>
    </xf>
    <xf numFmtId="9" fontId="15" fillId="8" borderId="2" xfId="1" applyFont="1" applyFill="1" applyBorder="1" applyAlignment="1" applyProtection="1">
      <alignment horizontal="center" vertical="center" wrapText="1"/>
    </xf>
    <xf numFmtId="9" fontId="15" fillId="8" borderId="3" xfId="1" applyFont="1" applyFill="1" applyBorder="1" applyAlignment="1" applyProtection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0" fillId="0" borderId="31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32" xfId="0" applyBorder="1" applyAlignment="1" applyProtection="1">
      <alignment horizontal="left" vertical="top" wrapText="1"/>
      <protection locked="0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0" fillId="0" borderId="8" xfId="1" applyNumberFormat="1" applyFont="1" applyBorder="1" applyAlignment="1" applyProtection="1">
      <alignment horizontal="center"/>
    </xf>
    <xf numFmtId="166" fontId="0" fillId="0" borderId="24" xfId="1" applyNumberFormat="1" applyFont="1" applyBorder="1" applyAlignment="1" applyProtection="1">
      <alignment horizont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1" fillId="6" borderId="7" xfId="0" applyFont="1" applyFill="1" applyBorder="1" applyAlignment="1">
      <alignment horizontal="left" vertical="top" wrapText="1"/>
    </xf>
    <xf numFmtId="0" fontId="1" fillId="6" borderId="8" xfId="0" applyFont="1" applyFill="1" applyBorder="1" applyAlignment="1">
      <alignment horizontal="left" vertical="top" wrapText="1"/>
    </xf>
    <xf numFmtId="0" fontId="0" fillId="6" borderId="8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24" xfId="0" applyFont="1" applyFill="1" applyBorder="1" applyAlignment="1">
      <alignment horizontal="center" vertical="top" wrapText="1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left" wrapText="1"/>
      <protection locked="0"/>
    </xf>
    <xf numFmtId="0" fontId="0" fillId="0" borderId="24" xfId="0" applyBorder="1" applyAlignment="1" applyProtection="1">
      <alignment horizontal="left" wrapText="1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0" fillId="0" borderId="24" xfId="0" applyBorder="1" applyAlignment="1" applyProtection="1">
      <alignment horizontal="center" wrapText="1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6" borderId="8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12" fillId="3" borderId="22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24" xfId="0" applyFont="1" applyBorder="1" applyAlignment="1" applyProtection="1">
      <alignment horizontal="left" vertical="center"/>
      <protection locked="0"/>
    </xf>
    <xf numFmtId="165" fontId="2" fillId="0" borderId="8" xfId="0" applyNumberFormat="1" applyFont="1" applyBorder="1" applyAlignment="1" applyProtection="1">
      <alignment horizontal="left" vertical="center"/>
      <protection locked="0"/>
    </xf>
    <xf numFmtId="165" fontId="2" fillId="0" borderId="24" xfId="0" applyNumberFormat="1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8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21" xfId="0" applyBorder="1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2" fillId="0" borderId="8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0" fillId="0" borderId="8" xfId="0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>
      <alignment horizontal="left" vertical="center" wrapText="1"/>
    </xf>
    <xf numFmtId="49" fontId="2" fillId="0" borderId="8" xfId="0" applyNumberFormat="1" applyFont="1" applyBorder="1" applyAlignment="1" applyProtection="1">
      <alignment horizontal="left" vertical="center"/>
      <protection locked="0"/>
    </xf>
    <xf numFmtId="49" fontId="2" fillId="0" borderId="24" xfId="0" applyNumberFormat="1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center" vertical="top" wrapText="1"/>
    </xf>
    <xf numFmtId="0" fontId="4" fillId="9" borderId="44" xfId="4" applyFont="1" applyFill="1" applyBorder="1" applyAlignment="1">
      <alignment horizontal="center" vertical="center"/>
    </xf>
    <xf numFmtId="0" fontId="4" fillId="9" borderId="45" xfId="4" applyFont="1" applyFill="1" applyBorder="1" applyAlignment="1">
      <alignment horizontal="center" vertical="center"/>
    </xf>
    <xf numFmtId="164" fontId="1" fillId="10" borderId="41" xfId="4" applyNumberFormat="1" applyFont="1" applyFill="1" applyBorder="1" applyAlignment="1">
      <alignment horizontal="center" vertical="center"/>
    </xf>
    <xf numFmtId="164" fontId="1" fillId="10" borderId="42" xfId="4" applyNumberFormat="1" applyFont="1" applyFill="1" applyBorder="1" applyAlignment="1">
      <alignment horizontal="center" vertical="center"/>
    </xf>
    <xf numFmtId="0" fontId="27" fillId="0" borderId="0" xfId="3" applyFont="1" applyAlignment="1">
      <alignment horizontal="left" vertical="center" indent="6"/>
    </xf>
    <xf numFmtId="0" fontId="4" fillId="9" borderId="14" xfId="2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2" fillId="0" borderId="0" xfId="2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2" fillId="0" borderId="14" xfId="2" applyBorder="1" applyAlignment="1">
      <alignment horizontal="center"/>
    </xf>
    <xf numFmtId="0" fontId="18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20" fillId="0" borderId="0" xfId="2" applyFont="1" applyAlignment="1">
      <alignment horizontal="center" vertical="center"/>
    </xf>
    <xf numFmtId="0" fontId="20" fillId="0" borderId="13" xfId="2" applyFont="1" applyBorder="1" applyAlignment="1">
      <alignment horizontal="center" vertical="top"/>
    </xf>
    <xf numFmtId="0" fontId="17" fillId="0" borderId="0" xfId="2" applyFont="1" applyAlignment="1">
      <alignment horizontal="center"/>
    </xf>
    <xf numFmtId="168" fontId="30" fillId="3" borderId="0" xfId="4" applyNumberFormat="1" applyFont="1" applyFill="1" applyAlignment="1">
      <alignment horizontal="center"/>
    </xf>
    <xf numFmtId="0" fontId="23" fillId="0" borderId="0" xfId="2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0" fontId="22" fillId="0" borderId="0" xfId="2" applyFont="1" applyAlignment="1">
      <alignment horizontal="center" vertical="center"/>
    </xf>
  </cellXfs>
  <cellStyles count="7">
    <cellStyle name="Normal" xfId="0" builtinId="0"/>
    <cellStyle name="Normal 2" xfId="2" xr:uid="{00000000-0005-0000-0000-000001000000}"/>
    <cellStyle name="Normal 3" xfId="3" xr:uid="{00000000-0005-0000-0000-000002000000}"/>
    <cellStyle name="Normal 3 2" xfId="4" xr:uid="{00000000-0005-0000-0000-000003000000}"/>
    <cellStyle name="Percent 2" xfId="6" xr:uid="{00000000-0005-0000-0000-000005000000}"/>
    <cellStyle name="Porcentagem" xfId="1" builtinId="5"/>
    <cellStyle name="Porcentagem 2" xfId="5" xr:uid="{00000000-0005-0000-0000-000006000000}"/>
  </cellStyles>
  <dxfs count="181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solidFill>
            <a:schemeClr val="accent1"/>
          </a:solidFill>
        </a:ln>
      </c:spPr>
    </c:sideWall>
    <c:backWall>
      <c:thickness val="0"/>
      <c:spPr>
        <a:noFill/>
        <a:ln w="25400">
          <a:solidFill>
            <a:schemeClr val="accent1"/>
          </a:solidFill>
        </a:ln>
      </c:spPr>
    </c:backWall>
    <c:plotArea>
      <c:layout>
        <c:manualLayout>
          <c:layoutTarget val="inner"/>
          <c:xMode val="edge"/>
          <c:yMode val="edge"/>
          <c:x val="0.11926814657762616"/>
          <c:y val="4.3118459545606697E-2"/>
          <c:w val="0.87207744621837768"/>
          <c:h val="0.847083994352831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'Dados Relatório Mensal'!$B$31</c:f>
              <c:strCache>
                <c:ptCount val="1"/>
                <c:pt idx="0">
                  <c:v>jan/25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  <a:alpha val="80000"/>
                </a:schemeClr>
              </a:solidFill>
              <a:ln w="2540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etal"/>
            </c:spPr>
            <c:extLst>
              <c:ext xmlns:c16="http://schemas.microsoft.com/office/drawing/2014/chart" uri="{C3380CC4-5D6E-409C-BE32-E72D297353CC}">
                <c16:uniqueId val="{00000001-9320-4D98-A7FE-5EDBF1B1F595}"/>
              </c:ext>
            </c:extLst>
          </c:dPt>
          <c:val>
            <c:numRef>
              <c:f>'Dados Relatório Mensal'!$C$31</c:f>
              <c:numCache>
                <c:formatCode>0.00</c:formatCode>
                <c:ptCount val="1"/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2-9320-4D98-A7FE-5EDBF1B1F595}"/>
            </c:ext>
          </c:extLst>
        </c:ser>
        <c:ser>
          <c:idx val="1"/>
          <c:order val="1"/>
          <c:tx>
            <c:strRef>
              <c:f>'Dados Relatório Mensal'!$B$32</c:f>
              <c:strCache>
                <c:ptCount val="1"/>
                <c:pt idx="0">
                  <c:v>fev/25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val>
            <c:numRef>
              <c:f>'Dados Relatório Mensal'!$C$32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0BA4-4BE9-AD69-DFA25D792917}"/>
            </c:ext>
          </c:extLst>
        </c:ser>
        <c:ser>
          <c:idx val="2"/>
          <c:order val="2"/>
          <c:tx>
            <c:strRef>
              <c:f>'Dados Relatório Mensal'!$B$33</c:f>
              <c:strCache>
                <c:ptCount val="1"/>
                <c:pt idx="0">
                  <c:v>mar/25</c:v>
                </c:pt>
              </c:strCache>
            </c:strRef>
          </c:tx>
          <c:spPr>
            <a:solidFill>
              <a:srgbClr val="9C21C3"/>
            </a:solidFill>
            <a:ln w="25400">
              <a:noFill/>
            </a:ln>
          </c:spPr>
          <c:invertIfNegative val="0"/>
          <c:val>
            <c:numRef>
              <c:f>'Dados Relatório Mensal'!$C$33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0BA4-4BE9-AD69-DFA25D792917}"/>
            </c:ext>
          </c:extLst>
        </c:ser>
        <c:ser>
          <c:idx val="3"/>
          <c:order val="3"/>
          <c:tx>
            <c:strRef>
              <c:f>'Dados Relatório Mensal'!$B$34</c:f>
              <c:strCache>
                <c:ptCount val="1"/>
                <c:pt idx="0">
                  <c:v>abr/25</c:v>
                </c:pt>
              </c:strCache>
            </c:strRef>
          </c:tx>
          <c:spPr>
            <a:solidFill>
              <a:srgbClr val="BD2747"/>
            </a:solidFill>
            <a:ln w="25400">
              <a:noFill/>
            </a:ln>
          </c:spPr>
          <c:invertIfNegative val="0"/>
          <c:val>
            <c:numRef>
              <c:f>'Dados Relatório Mensal'!$C$34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0BA4-4BE9-AD69-DFA25D792917}"/>
            </c:ext>
          </c:extLst>
        </c:ser>
        <c:ser>
          <c:idx val="4"/>
          <c:order val="4"/>
          <c:tx>
            <c:strRef>
              <c:f>'Dados Relatório Mensal'!$B$35</c:f>
              <c:strCache>
                <c:ptCount val="1"/>
                <c:pt idx="0">
                  <c:v>mai/25</c:v>
                </c:pt>
              </c:strCache>
            </c:strRef>
          </c:tx>
          <c:spPr>
            <a:solidFill>
              <a:srgbClr val="77677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15B-411F-9786-C138B044387F}"/>
              </c:ext>
            </c:extLst>
          </c:dPt>
          <c:val>
            <c:numRef>
              <c:f>'Dados Relatório Mensal'!$C$35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0BA4-4BE9-AD69-DFA25D792917}"/>
            </c:ext>
          </c:extLst>
        </c:ser>
        <c:ser>
          <c:idx val="5"/>
          <c:order val="5"/>
          <c:tx>
            <c:strRef>
              <c:f>'Dados Relatório Mensal'!$B$36</c:f>
              <c:strCache>
                <c:ptCount val="1"/>
                <c:pt idx="0">
                  <c:v>jun/25</c:v>
                </c:pt>
              </c:strCache>
            </c:strRef>
          </c:tx>
          <c:invertIfNegative val="0"/>
          <c:val>
            <c:numRef>
              <c:f>'Dados Relatório Mensal'!$C$36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0BA4-4BE9-AD69-DFA25D792917}"/>
            </c:ext>
          </c:extLst>
        </c:ser>
        <c:ser>
          <c:idx val="6"/>
          <c:order val="6"/>
          <c:tx>
            <c:strRef>
              <c:f>'Dados Relatório Mensal'!$B$37</c:f>
              <c:strCache>
                <c:ptCount val="1"/>
                <c:pt idx="0">
                  <c:v>jul/25</c:v>
                </c:pt>
              </c:strCache>
            </c:strRef>
          </c:tx>
          <c:invertIfNegative val="0"/>
          <c:val>
            <c:numRef>
              <c:f>'Dados Relatório Mensal'!$C$37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0BA4-4BE9-AD69-DFA25D792917}"/>
            </c:ext>
          </c:extLst>
        </c:ser>
        <c:ser>
          <c:idx val="7"/>
          <c:order val="7"/>
          <c:tx>
            <c:strRef>
              <c:f>'Dados Relatório Mensal'!$B$38</c:f>
              <c:strCache>
                <c:ptCount val="1"/>
                <c:pt idx="0">
                  <c:v>ago/25</c:v>
                </c:pt>
              </c:strCache>
            </c:strRef>
          </c:tx>
          <c:invertIfNegative val="0"/>
          <c:val>
            <c:numRef>
              <c:f>'Dados Relatório Mensal'!$C$38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0BA4-4BE9-AD69-DFA25D792917}"/>
            </c:ext>
          </c:extLst>
        </c:ser>
        <c:ser>
          <c:idx val="8"/>
          <c:order val="8"/>
          <c:tx>
            <c:strRef>
              <c:f>'Dados Relatório Mensal'!$B$39</c:f>
              <c:strCache>
                <c:ptCount val="1"/>
                <c:pt idx="0">
                  <c:v>set/25</c:v>
                </c:pt>
              </c:strCache>
            </c:strRef>
          </c:tx>
          <c:invertIfNegative val="0"/>
          <c:val>
            <c:numRef>
              <c:f>'Dados Relatório Mensal'!$C$39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0BA4-4BE9-AD69-DFA25D792917}"/>
            </c:ext>
          </c:extLst>
        </c:ser>
        <c:ser>
          <c:idx val="9"/>
          <c:order val="9"/>
          <c:tx>
            <c:strRef>
              <c:f>'Dados Relatório Mensal'!$B$40</c:f>
              <c:strCache>
                <c:ptCount val="1"/>
                <c:pt idx="0">
                  <c:v>out/25</c:v>
                </c:pt>
              </c:strCache>
            </c:strRef>
          </c:tx>
          <c:invertIfNegative val="0"/>
          <c:val>
            <c:numRef>
              <c:f>'Dados Relatório Mensal'!$C$40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0BA4-4BE9-AD69-DFA25D792917}"/>
            </c:ext>
          </c:extLst>
        </c:ser>
        <c:ser>
          <c:idx val="10"/>
          <c:order val="10"/>
          <c:tx>
            <c:strRef>
              <c:f>'Dados Relatório Mensal'!$B$41</c:f>
              <c:strCache>
                <c:ptCount val="1"/>
                <c:pt idx="0">
                  <c:v>nov/25</c:v>
                </c:pt>
              </c:strCache>
            </c:strRef>
          </c:tx>
          <c:invertIfNegative val="0"/>
          <c:val>
            <c:numRef>
              <c:f>'Dados Relatório Mensal'!$C$41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0BA4-4BE9-AD69-DFA25D792917}"/>
            </c:ext>
          </c:extLst>
        </c:ser>
        <c:ser>
          <c:idx val="11"/>
          <c:order val="11"/>
          <c:tx>
            <c:strRef>
              <c:f>'Dados Relatório Mensal'!$B$42</c:f>
              <c:strCache>
                <c:ptCount val="1"/>
                <c:pt idx="0">
                  <c:v>dez/25</c:v>
                </c:pt>
              </c:strCache>
            </c:strRef>
          </c:tx>
          <c:invertIfNegative val="0"/>
          <c:val>
            <c:numRef>
              <c:f>'Dados Relatório Mensal'!$C$42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0BA4-4BE9-AD69-DFA25D792917}"/>
            </c:ext>
          </c:extLst>
        </c:ser>
        <c:ser>
          <c:idx val="12"/>
          <c:order val="12"/>
          <c:tx>
            <c:strRef>
              <c:f>'Dados Relatório Mensal'!$B$44</c:f>
              <c:strCache>
                <c:ptCount val="1"/>
                <c:pt idx="0">
                  <c:v>Média Anual</c:v>
                </c:pt>
              </c:strCache>
            </c:strRef>
          </c:tx>
          <c:invertIfNegative val="0"/>
          <c:val>
            <c:numRef>
              <c:f>'Dados Relatório Mensal'!$C$44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BA4-4BE9-AD69-DFA25D792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8"/>
        <c:gapDepth val="381"/>
        <c:shape val="box"/>
        <c:axId val="-1980568656"/>
        <c:axId val="-1980571376"/>
        <c:axId val="-1983611200"/>
      </c:bar3DChart>
      <c:catAx>
        <c:axId val="-1980568656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-1980571376"/>
        <c:crosses val="autoZero"/>
        <c:auto val="0"/>
        <c:lblAlgn val="ctr"/>
        <c:lblOffset val="100"/>
        <c:noMultiLvlLbl val="0"/>
      </c:catAx>
      <c:valAx>
        <c:axId val="-19805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/>
            </a:pPr>
            <a:endParaRPr lang="pt-BR"/>
          </a:p>
        </c:txPr>
        <c:crossAx val="-1980568656"/>
        <c:crosses val="autoZero"/>
        <c:crossBetween val="between"/>
      </c:valAx>
      <c:serAx>
        <c:axId val="-1983611200"/>
        <c:scaling>
          <c:orientation val="minMax"/>
        </c:scaling>
        <c:delete val="1"/>
        <c:axPos val="b"/>
        <c:majorTickMark val="out"/>
        <c:minorTickMark val="none"/>
        <c:tickLblPos val="nextTo"/>
        <c:crossAx val="-1980571376"/>
        <c:crosses val="autoZero"/>
      </c:ser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Resultados do IPF</a:t>
            </a:r>
          </a:p>
        </c:rich>
      </c:tx>
      <c:layout>
        <c:manualLayout>
          <c:xMode val="edge"/>
          <c:yMode val="edge"/>
          <c:x val="0.3922767857142857"/>
          <c:y val="3.5634118967452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ECC-4308-87B7-ED51F2B68B3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ECC-4308-87B7-ED51F2B68B3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ECC-4308-87B7-ED51F2B68B33}"/>
              </c:ext>
            </c:extLst>
          </c:dPt>
          <c:dLbls>
            <c:dLbl>
              <c:idx val="0"/>
              <c:layout>
                <c:manualLayout>
                  <c:x val="1.469907407407403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CC-4308-87B7-ED51F2B68B33}"/>
                </c:ext>
              </c:extLst>
            </c:dLbl>
            <c:dLbl>
              <c:idx val="1"/>
              <c:layout>
                <c:manualLayout>
                  <c:x val="1.259920634920635E-2"/>
                  <c:y val="-1.0690235690235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CC-4308-87B7-ED51F2B68B33}"/>
                </c:ext>
              </c:extLst>
            </c:dLbl>
            <c:dLbl>
              <c:idx val="2"/>
              <c:layout>
                <c:manualLayout>
                  <c:x val="1.259920634920635E-2"/>
                  <c:y val="-1.4253647586980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CC-4308-87B7-ED51F2B68B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Relatório Mensal'!$B$15:$B$28</c:f>
              <c:strCache>
                <c:ptCount val="14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  <c:pt idx="12">
                  <c:v>Resultado do Mês de Referência</c:v>
                </c:pt>
                <c:pt idx="13">
                  <c:v>Média Anual</c:v>
                </c:pt>
              </c:strCache>
            </c:strRef>
          </c:cat>
          <c:val>
            <c:numRef>
              <c:f>'Dados Relatório Mensal'!$C$15:$C$28</c:f>
              <c:numCache>
                <c:formatCode>0.00</c:formatCode>
                <c:ptCount val="14"/>
                <c:pt idx="13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6-CECC-4308-87B7-ED51F2B68B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980568112"/>
        <c:axId val="-1980565936"/>
        <c:axId val="0"/>
      </c:bar3DChart>
      <c:catAx>
        <c:axId val="-19805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80565936"/>
        <c:crosses val="autoZero"/>
        <c:auto val="1"/>
        <c:lblAlgn val="ctr"/>
        <c:lblOffset val="100"/>
        <c:noMultiLvlLbl val="0"/>
      </c:catAx>
      <c:valAx>
        <c:axId val="-19805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805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IDS</a:t>
            </a:r>
          </a:p>
        </c:rich>
      </c:tx>
      <c:layout>
        <c:manualLayout>
          <c:xMode val="edge"/>
          <c:yMode val="edge"/>
          <c:x val="0.439768426181389"/>
          <c:y val="2.9121001743158549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Dados!$B$3</c:f>
              <c:strCache>
                <c:ptCount val="1"/>
                <c:pt idx="0">
                  <c:v>segunda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Dados!$C$3:$H$3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C-4F1C-853A-9A7E9FA208C3}"/>
            </c:ext>
          </c:extLst>
        </c:ser>
        <c:ser>
          <c:idx val="1"/>
          <c:order val="1"/>
          <c:tx>
            <c:strRef>
              <c:f>Dados!$B$4</c:f>
              <c:strCache>
                <c:ptCount val="1"/>
                <c:pt idx="0">
                  <c:v>terça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Dados!$C$4:$H$4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C-4F1C-853A-9A7E9FA208C3}"/>
            </c:ext>
          </c:extLst>
        </c:ser>
        <c:ser>
          <c:idx val="2"/>
          <c:order val="2"/>
          <c:tx>
            <c:strRef>
              <c:f>Dados!$B$5</c:f>
              <c:strCache>
                <c:ptCount val="1"/>
                <c:pt idx="0">
                  <c:v>quarta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Dados!$C$5:$H$5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AC-4F1C-853A-9A7E9FA208C3}"/>
            </c:ext>
          </c:extLst>
        </c:ser>
        <c:ser>
          <c:idx val="3"/>
          <c:order val="3"/>
          <c:tx>
            <c:strRef>
              <c:f>Dados!$B$6</c:f>
              <c:strCache>
                <c:ptCount val="1"/>
                <c:pt idx="0">
                  <c:v>quinta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Dados!$C$6:$H$6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AC-4F1C-853A-9A7E9FA208C3}"/>
            </c:ext>
          </c:extLst>
        </c:ser>
        <c:ser>
          <c:idx val="4"/>
          <c:order val="4"/>
          <c:tx>
            <c:strRef>
              <c:f>Dados!$B$7</c:f>
              <c:strCache>
                <c:ptCount val="1"/>
                <c:pt idx="0">
                  <c:v>sexta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Dados!$C$7:$H$7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C-4F1C-853A-9A7E9FA208C3}"/>
            </c:ext>
          </c:extLst>
        </c:ser>
        <c:ser>
          <c:idx val="5"/>
          <c:order val="5"/>
          <c:tx>
            <c:strRef>
              <c:f>Dados!$B$8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Dados!$C$8:$H$8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A1-452B-91AC-4F551376589C}"/>
            </c:ext>
          </c:extLst>
        </c:ser>
        <c:ser>
          <c:idx val="6"/>
          <c:order val="6"/>
          <c:tx>
            <c:strRef>
              <c:f>Dados!$B$9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Dados!$C$2:$H$2</c:f>
              <c:strCache>
                <c:ptCount val="6"/>
                <c:pt idx="0">
                  <c:v>Média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Dados!$C$9:$H$9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A1-452B-91AC-4F55137658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561584"/>
        <c:axId val="-11560496"/>
      </c:barChart>
      <c:catAx>
        <c:axId val="-1156158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0496"/>
        <c:crosses val="autoZero"/>
        <c:auto val="1"/>
        <c:lblAlgn val="ctr"/>
        <c:lblOffset val="100"/>
        <c:noMultiLvlLbl val="0"/>
      </c:catAx>
      <c:valAx>
        <c:axId val="-115604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15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Pessoas Observadas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Dados!$B$12</c:f>
              <c:strCache>
                <c:ptCount val="1"/>
                <c:pt idx="0">
                  <c:v>segunda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Dados!$C$12:$H$12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E-4247-9D6D-CE1A2E2B28D4}"/>
            </c:ext>
          </c:extLst>
        </c:ser>
        <c:ser>
          <c:idx val="1"/>
          <c:order val="1"/>
          <c:tx>
            <c:strRef>
              <c:f>Dados!$B$13</c:f>
              <c:strCache>
                <c:ptCount val="1"/>
                <c:pt idx="0">
                  <c:v>terça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Dados!$C$13:$H$13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E-4247-9D6D-CE1A2E2B28D4}"/>
            </c:ext>
          </c:extLst>
        </c:ser>
        <c:ser>
          <c:idx val="2"/>
          <c:order val="2"/>
          <c:tx>
            <c:strRef>
              <c:f>Dados!$B$14</c:f>
              <c:strCache>
                <c:ptCount val="1"/>
                <c:pt idx="0">
                  <c:v>quarta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Dados!$C$14:$H$14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E-4247-9D6D-CE1A2E2B28D4}"/>
            </c:ext>
          </c:extLst>
        </c:ser>
        <c:ser>
          <c:idx val="3"/>
          <c:order val="3"/>
          <c:tx>
            <c:strRef>
              <c:f>Dados!$B$15</c:f>
              <c:strCache>
                <c:ptCount val="1"/>
                <c:pt idx="0">
                  <c:v>quinta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Dados!$C$15:$H$15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9E-4247-9D6D-CE1A2E2B28D4}"/>
            </c:ext>
          </c:extLst>
        </c:ser>
        <c:ser>
          <c:idx val="4"/>
          <c:order val="4"/>
          <c:tx>
            <c:strRef>
              <c:f>Dados!$B$16</c:f>
              <c:strCache>
                <c:ptCount val="1"/>
                <c:pt idx="0">
                  <c:v>sexta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Dados!$C$16:$H$16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9E-4247-9D6D-CE1A2E2B28D4}"/>
            </c:ext>
          </c:extLst>
        </c:ser>
        <c:ser>
          <c:idx val="5"/>
          <c:order val="5"/>
          <c:tx>
            <c:strRef>
              <c:f>Dados!$B$17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Dados!$C$17:$H$17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9E-4247-9D6D-CE1A2E2B28D4}"/>
            </c:ext>
          </c:extLst>
        </c:ser>
        <c:ser>
          <c:idx val="6"/>
          <c:order val="6"/>
          <c:tx>
            <c:strRef>
              <c:f>Dados!$B$18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14B6-4333-8E0B-C126DDE20C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Dados!$C$11:$H$11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Dados!$C$18:$H$18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9E-4247-9D6D-CE1A2E2B28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1569200"/>
        <c:axId val="-11568112"/>
      </c:barChart>
      <c:catAx>
        <c:axId val="-1156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8112"/>
        <c:crosses val="autoZero"/>
        <c:auto val="1"/>
        <c:lblAlgn val="ctr"/>
        <c:lblOffset val="100"/>
        <c:noMultiLvlLbl val="0"/>
      </c:catAx>
      <c:valAx>
        <c:axId val="-115681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92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Desvios Registrados</a:t>
            </a:r>
            <a:endParaRPr lang="en-US" b="1"/>
          </a:p>
        </c:rich>
      </c:tx>
      <c:layout>
        <c:manualLayout>
          <c:xMode val="edge"/>
          <c:yMode val="edge"/>
          <c:x val="0.38956075841812027"/>
          <c:y val="3.4259162049188302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Dados!$B$22</c:f>
              <c:strCache>
                <c:ptCount val="1"/>
                <c:pt idx="0">
                  <c:v>segunda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Dados!$C$22:$H$22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2-45FF-9EFA-F48066B0CDB6}"/>
            </c:ext>
          </c:extLst>
        </c:ser>
        <c:ser>
          <c:idx val="1"/>
          <c:order val="1"/>
          <c:tx>
            <c:strRef>
              <c:f>Dados!$B$23</c:f>
              <c:strCache>
                <c:ptCount val="1"/>
                <c:pt idx="0">
                  <c:v>terça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Dados!$C$23:$H$23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2-45FF-9EFA-F48066B0CDB6}"/>
            </c:ext>
          </c:extLst>
        </c:ser>
        <c:ser>
          <c:idx val="2"/>
          <c:order val="2"/>
          <c:tx>
            <c:strRef>
              <c:f>Dados!$B$24</c:f>
              <c:strCache>
                <c:ptCount val="1"/>
                <c:pt idx="0">
                  <c:v>quarta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Dados!$C$24:$H$24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B2-45FF-9EFA-F48066B0CDB6}"/>
            </c:ext>
          </c:extLst>
        </c:ser>
        <c:ser>
          <c:idx val="3"/>
          <c:order val="3"/>
          <c:tx>
            <c:strRef>
              <c:f>Dados!$B$25</c:f>
              <c:strCache>
                <c:ptCount val="1"/>
                <c:pt idx="0">
                  <c:v>quinta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Dados!$C$25:$H$25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B2-45FF-9EFA-F48066B0CDB6}"/>
            </c:ext>
          </c:extLst>
        </c:ser>
        <c:ser>
          <c:idx val="4"/>
          <c:order val="4"/>
          <c:tx>
            <c:strRef>
              <c:f>Dados!$B$26</c:f>
              <c:strCache>
                <c:ptCount val="1"/>
                <c:pt idx="0">
                  <c:v>sexta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Dados!$C$26:$H$26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B2-45FF-9EFA-F48066B0CDB6}"/>
            </c:ext>
          </c:extLst>
        </c:ser>
        <c:ser>
          <c:idx val="5"/>
          <c:order val="5"/>
          <c:tx>
            <c:strRef>
              <c:f>Dados!$B$27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Dados!$C$27:$H$27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B2-45FF-9EFA-F48066B0CDB6}"/>
            </c:ext>
          </c:extLst>
        </c:ser>
        <c:ser>
          <c:idx val="6"/>
          <c:order val="6"/>
          <c:tx>
            <c:strRef>
              <c:f>Dados!$B$28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7D0-4274-9890-915DA369D7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Dados!$C$21:$H$21</c:f>
              <c:strCache>
                <c:ptCount val="6"/>
                <c:pt idx="0">
                  <c:v>Total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</c:strCache>
            </c:strRef>
          </c:cat>
          <c:val>
            <c:numRef>
              <c:f>Dados!$C$28:$H$28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B2-45FF-9EFA-F48066B0CD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1566480"/>
        <c:axId val="-11563760"/>
      </c:barChart>
      <c:catAx>
        <c:axId val="-1156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3760"/>
        <c:crosses val="autoZero"/>
        <c:auto val="1"/>
        <c:lblAlgn val="ctr"/>
        <c:lblOffset val="100"/>
        <c:noMultiLvlLbl val="0"/>
      </c:catAx>
      <c:valAx>
        <c:axId val="-11563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6480"/>
        <c:crosses val="autoZero"/>
        <c:crossBetween val="between"/>
        <c:majorUnit val="1"/>
        <c:minorUnit val="1"/>
      </c:valAx>
      <c:spPr>
        <a:solidFill>
          <a:schemeClr val="bg1"/>
        </a:solidFill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Desvios por Grau de Severidade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Dados!$B$31</c:f>
              <c:strCache>
                <c:ptCount val="1"/>
                <c:pt idx="0">
                  <c:v>Baixo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Dados!$D$31:$H$31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3-4459-AEBD-A4358677DA23}"/>
            </c:ext>
          </c:extLst>
        </c:ser>
        <c:ser>
          <c:idx val="1"/>
          <c:order val="1"/>
          <c:tx>
            <c:strRef>
              <c:f>Dados!$B$32</c:f>
              <c:strCache>
                <c:ptCount val="1"/>
                <c:pt idx="0">
                  <c:v>Médio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2-27B3-4459-AEBD-A4358677D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Dados!$D$32:$H$32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B3-4459-AEBD-A4358677DA23}"/>
            </c:ext>
          </c:extLst>
        </c:ser>
        <c:ser>
          <c:idx val="2"/>
          <c:order val="2"/>
          <c:tx>
            <c:strRef>
              <c:f>Dados!$B$33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7B3-4459-AEBD-A4358677D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Dados!$D$33:$H$33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B3-4459-AEBD-A4358677DA23}"/>
            </c:ext>
          </c:extLst>
        </c:ser>
        <c:ser>
          <c:idx val="3"/>
          <c:order val="3"/>
          <c:tx>
            <c:strRef>
              <c:f>Dados!$B$34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Dados!$D$34:$H$34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B3-4459-AEBD-A4358677D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70832"/>
        <c:axId val="-11570288"/>
      </c:barChart>
      <c:catAx>
        <c:axId val="-1157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0288"/>
        <c:crosses val="autoZero"/>
        <c:auto val="1"/>
        <c:lblAlgn val="ctr"/>
        <c:lblOffset val="100"/>
        <c:noMultiLvlLbl val="0"/>
      </c:catAx>
      <c:valAx>
        <c:axId val="-115702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0832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Desvios por Grau de Severidade (%)</a:t>
            </a:r>
            <a:endParaRPr lang="en-US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3514566551932151E-2"/>
          <c:y val="0.23823393574297189"/>
          <c:w val="0.89665647067172916"/>
          <c:h val="0.561659728794820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Dados!$B$37</c:f>
              <c:strCache>
                <c:ptCount val="1"/>
                <c:pt idx="0">
                  <c:v>Baixo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Dados!$D$37:$H$37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A-4D58-9F8E-28AA78A190FB}"/>
            </c:ext>
          </c:extLst>
        </c:ser>
        <c:ser>
          <c:idx val="1"/>
          <c:order val="1"/>
          <c:tx>
            <c:strRef>
              <c:f>Dados!$B$38</c:f>
              <c:strCache>
                <c:ptCount val="1"/>
                <c:pt idx="0">
                  <c:v>Médio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2-B84A-4D58-9F8E-28AA78A190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Dados!$D$38:$H$38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A-4D58-9F8E-28AA78A190FB}"/>
            </c:ext>
          </c:extLst>
        </c:ser>
        <c:ser>
          <c:idx val="2"/>
          <c:order val="2"/>
          <c:tx>
            <c:strRef>
              <c:f>Dados!$B$39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B84A-4D58-9F8E-28AA78A190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Dados!$D$30:$H$30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Dados!$D$39:$H$39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4A-4D58-9F8E-28AA78A190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75184"/>
        <c:axId val="-11574640"/>
      </c:barChart>
      <c:catAx>
        <c:axId val="-1157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4640"/>
        <c:crosses val="autoZero"/>
        <c:auto val="1"/>
        <c:lblAlgn val="ctr"/>
        <c:lblOffset val="100"/>
        <c:noMultiLvlLbl val="0"/>
      </c:catAx>
      <c:valAx>
        <c:axId val="-11574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51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EPI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7588472581866867E-2"/>
          <c:y val="0.13761183309458114"/>
          <c:w val="0.92176927548485965"/>
          <c:h val="0.66448617597429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Dados!$B$58</c:f>
              <c:strCache>
                <c:ptCount val="1"/>
                <c:pt idx="0">
                  <c:v>Capacete/Jugular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Dados!$D$58:$H$58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5B7-9AFE-BE007EE7F6F3}"/>
            </c:ext>
          </c:extLst>
        </c:ser>
        <c:ser>
          <c:idx val="1"/>
          <c:order val="1"/>
          <c:tx>
            <c:strRef>
              <c:f>Dados!$B$59</c:f>
              <c:strCache>
                <c:ptCount val="1"/>
                <c:pt idx="0">
                  <c:v>Máscara Respiratória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Dados!$D$59:$H$59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3-45B7-9AFE-BE007EE7F6F3}"/>
            </c:ext>
          </c:extLst>
        </c:ser>
        <c:ser>
          <c:idx val="2"/>
          <c:order val="2"/>
          <c:tx>
            <c:strRef>
              <c:f>Dados!$B$60</c:f>
              <c:strCache>
                <c:ptCount val="1"/>
                <c:pt idx="0">
                  <c:v>Óculos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Dados!$D$60:$H$60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3-45B7-9AFE-BE007EE7F6F3}"/>
            </c:ext>
          </c:extLst>
        </c:ser>
        <c:ser>
          <c:idx val="3"/>
          <c:order val="3"/>
          <c:tx>
            <c:strRef>
              <c:f>Dados!$B$61</c:f>
              <c:strCache>
                <c:ptCount val="1"/>
                <c:pt idx="0">
                  <c:v>Protetor Facial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Dados!$D$61:$H$61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3-45B7-9AFE-BE007EE7F6F3}"/>
            </c:ext>
          </c:extLst>
        </c:ser>
        <c:ser>
          <c:idx val="4"/>
          <c:order val="4"/>
          <c:tx>
            <c:strRef>
              <c:f>Dados!$B$62</c:f>
              <c:strCache>
                <c:ptCount val="1"/>
                <c:pt idx="0">
                  <c:v>Protetor Auricular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Dados!$D$62:$H$62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03-45B7-9AFE-BE007EE7F6F3}"/>
            </c:ext>
          </c:extLst>
        </c:ser>
        <c:ser>
          <c:idx val="5"/>
          <c:order val="5"/>
          <c:tx>
            <c:strRef>
              <c:f>Dados!$B$63</c:f>
              <c:strCache>
                <c:ptCount val="1"/>
                <c:pt idx="0">
                  <c:v>Luvas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Dados!$D$63:$H$63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03-45B7-9AFE-BE007EE7F6F3}"/>
            </c:ext>
          </c:extLst>
        </c:ser>
        <c:ser>
          <c:idx val="6"/>
          <c:order val="6"/>
          <c:tx>
            <c:strRef>
              <c:f>Dados!$B$64</c:f>
              <c:strCache>
                <c:ptCount val="1"/>
                <c:pt idx="0">
                  <c:v>Avental/jaleco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Dados!$D$64:$H$64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03-45B7-9AFE-BE007EE7F6F3}"/>
            </c:ext>
          </c:extLst>
        </c:ser>
        <c:ser>
          <c:idx val="7"/>
          <c:order val="7"/>
          <c:tx>
            <c:strRef>
              <c:f>Dados!$B$65</c:f>
              <c:strCache>
                <c:ptCount val="1"/>
                <c:pt idx="0">
                  <c:v>Calçado de Segurança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Dados!$D$65:$H$65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03-45B7-9AFE-BE007EE7F6F3}"/>
            </c:ext>
          </c:extLst>
        </c:ser>
        <c:ser>
          <c:idx val="8"/>
          <c:order val="8"/>
          <c:tx>
            <c:strRef>
              <c:f>Dados!$B$66</c:f>
              <c:strCache>
                <c:ptCount val="1"/>
                <c:pt idx="0">
                  <c:v>Cinto de Segurança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Dados!$D$66:$H$66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03-45B7-9AFE-BE007EE7F6F3}"/>
            </c:ext>
          </c:extLst>
        </c:ser>
        <c:ser>
          <c:idx val="9"/>
          <c:order val="9"/>
          <c:tx>
            <c:strRef>
              <c:f>Dados!$B$67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Dados!$D$57:$H$57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Dados!$D$67:$H$67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03-45B7-9AFE-BE007EE7F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74096"/>
        <c:axId val="-11564304"/>
      </c:barChart>
      <c:catAx>
        <c:axId val="-1157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4304"/>
        <c:crosses val="autoZero"/>
        <c:auto val="1"/>
        <c:lblAlgn val="ctr"/>
        <c:lblOffset val="100"/>
        <c:noMultiLvlLbl val="0"/>
      </c:catAx>
      <c:valAx>
        <c:axId val="-1156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4096"/>
        <c:crosses val="autoZero"/>
        <c:crossBetween val="between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4852360264608252E-2"/>
          <c:y val="0.87789567359217557"/>
          <c:w val="0.9519368340151817"/>
          <c:h val="0.10408856190460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Posição</a:t>
            </a:r>
            <a:r>
              <a:rPr lang="en-US" b="1" baseline="0"/>
              <a:t> das Pessoas</a:t>
            </a:r>
            <a:endParaRPr lang="en-US" b="1"/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7588472581866867E-2"/>
          <c:y val="0.14364785205922362"/>
          <c:w val="0.92176927548485965"/>
          <c:h val="0.61696567632040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Dados!$B$70</c:f>
              <c:strCache>
                <c:ptCount val="1"/>
                <c:pt idx="0">
                  <c:v>Bater contra/Ser atingido por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Dados!$D$70:$H$70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C-4757-938C-6C1C95B75A53}"/>
            </c:ext>
          </c:extLst>
        </c:ser>
        <c:ser>
          <c:idx val="1"/>
          <c:order val="1"/>
          <c:tx>
            <c:strRef>
              <c:f>Dados!$B$71</c:f>
              <c:strCache>
                <c:ptCount val="1"/>
                <c:pt idx="0">
                  <c:v>Ficar preso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Dados!$D$71:$H$71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C-4757-938C-6C1C95B75A53}"/>
            </c:ext>
          </c:extLst>
        </c:ser>
        <c:ser>
          <c:idx val="2"/>
          <c:order val="2"/>
          <c:tx>
            <c:strRef>
              <c:f>Dados!$B$72</c:f>
              <c:strCache>
                <c:ptCount val="1"/>
                <c:pt idx="0">
                  <c:v>Risco de queda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Dados!$D$72:$H$72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1C-4757-938C-6C1C95B75A53}"/>
            </c:ext>
          </c:extLst>
        </c:ser>
        <c:ser>
          <c:idx val="3"/>
          <c:order val="3"/>
          <c:tx>
            <c:strRef>
              <c:f>Dados!$B$73</c:f>
              <c:strCache>
                <c:ptCount val="1"/>
                <c:pt idx="0">
                  <c:v>Risco de queimadura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Dados!$D$73:$H$73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1C-4757-938C-6C1C95B75A53}"/>
            </c:ext>
          </c:extLst>
        </c:ser>
        <c:ser>
          <c:idx val="4"/>
          <c:order val="4"/>
          <c:tx>
            <c:strRef>
              <c:f>Dados!$B$74</c:f>
              <c:strCache>
                <c:ptCount val="1"/>
                <c:pt idx="0">
                  <c:v>Risco de choque elétrico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Dados!$D$74:$H$74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C-4757-938C-6C1C95B75A53}"/>
            </c:ext>
          </c:extLst>
        </c:ser>
        <c:ser>
          <c:idx val="5"/>
          <c:order val="5"/>
          <c:tx>
            <c:strRef>
              <c:f>Dados!$B$75</c:f>
              <c:strCache>
                <c:ptCount val="1"/>
                <c:pt idx="0">
                  <c:v>Inalar/Absorver contaminantes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Dados!$D$75:$H$75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1C-4757-938C-6C1C95B75A53}"/>
            </c:ext>
          </c:extLst>
        </c:ser>
        <c:ser>
          <c:idx val="6"/>
          <c:order val="6"/>
          <c:tx>
            <c:strRef>
              <c:f>Dados!$B$76</c:f>
              <c:strCache>
                <c:ptCount val="1"/>
                <c:pt idx="0">
                  <c:v>Trabalho Sobreposto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Dados!$D$76:$H$76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1C-4757-938C-6C1C95B75A53}"/>
            </c:ext>
          </c:extLst>
        </c:ser>
        <c:ser>
          <c:idx val="7"/>
          <c:order val="7"/>
          <c:tx>
            <c:strRef>
              <c:f>Dados!$B$77</c:f>
              <c:strCache>
                <c:ptCount val="1"/>
                <c:pt idx="0">
                  <c:v>Ingerir contaminantes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Dados!$D$77:$H$77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1C-4757-938C-6C1C95B75A53}"/>
            </c:ext>
          </c:extLst>
        </c:ser>
        <c:ser>
          <c:idx val="8"/>
          <c:order val="8"/>
          <c:tx>
            <c:strRef>
              <c:f>Dados!$B$78</c:f>
              <c:strCache>
                <c:ptCount val="1"/>
                <c:pt idx="0">
                  <c:v>Postura inadequada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Dados!$D$78:$H$78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1C-4757-938C-6C1C95B75A53}"/>
            </c:ext>
          </c:extLst>
        </c:ser>
        <c:ser>
          <c:idx val="9"/>
          <c:order val="9"/>
          <c:tx>
            <c:strRef>
              <c:f>Dados!$B$79</c:f>
              <c:strCache>
                <c:ptCount val="1"/>
                <c:pt idx="0">
                  <c:v>Esforço inadequado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Dados!$D$79:$H$79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1C-4757-938C-6C1C95B75A53}"/>
            </c:ext>
          </c:extLst>
        </c:ser>
        <c:ser>
          <c:idx val="10"/>
          <c:order val="10"/>
          <c:tx>
            <c:strRef>
              <c:f>Dados!$B$80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Dados!$D$69:$H$69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Dados!$D$80:$H$80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1C-4757-938C-6C1C95B75A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67568"/>
        <c:axId val="-11571920"/>
      </c:barChart>
      <c:catAx>
        <c:axId val="-1156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1920"/>
        <c:crosses val="autoZero"/>
        <c:auto val="1"/>
        <c:lblAlgn val="ctr"/>
        <c:lblOffset val="100"/>
        <c:noMultiLvlLbl val="0"/>
      </c:catAx>
      <c:valAx>
        <c:axId val="-1157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7568"/>
        <c:crosses val="autoZero"/>
        <c:crossBetween val="between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3.2957742108964558E-2"/>
          <c:y val="0.84136252212991969"/>
          <c:w val="0.93572619761717601"/>
          <c:h val="0.1398590494348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Ação</a:t>
            </a:r>
            <a:r>
              <a:rPr lang="en-US" b="1" baseline="0"/>
              <a:t> Quando Observado</a:t>
            </a:r>
            <a:endParaRPr lang="en-US" b="1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Dados!$B$51</c:f>
              <c:strCache>
                <c:ptCount val="1"/>
                <c:pt idx="0">
                  <c:v>Mudança de posição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Dados!$D$50:$H$50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Dados!$D$51:$H$51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9-40BF-886A-38D01E2A7047}"/>
            </c:ext>
          </c:extLst>
        </c:ser>
        <c:ser>
          <c:idx val="1"/>
          <c:order val="1"/>
          <c:tx>
            <c:strRef>
              <c:f>Dados!$B$52</c:f>
              <c:strCache>
                <c:ptCount val="1"/>
                <c:pt idx="0">
                  <c:v>Paraliza a atividade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Dados!$D$50:$H$50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Dados!$D$52:$H$52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9-40BF-886A-38D01E2A7047}"/>
            </c:ext>
          </c:extLst>
        </c:ser>
        <c:ser>
          <c:idx val="2"/>
          <c:order val="2"/>
          <c:tx>
            <c:strRef>
              <c:f>Dados!$B$53</c:f>
              <c:strCache>
                <c:ptCount val="1"/>
                <c:pt idx="0">
                  <c:v>Ajusta o EPI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Dados!$D$50:$H$50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Dados!$D$53:$H$53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9-40BF-886A-38D01E2A7047}"/>
            </c:ext>
          </c:extLst>
        </c:ser>
        <c:ser>
          <c:idx val="3"/>
          <c:order val="3"/>
          <c:tx>
            <c:strRef>
              <c:f>Dados!$B$54</c:f>
              <c:strCache>
                <c:ptCount val="1"/>
                <c:pt idx="0">
                  <c:v>Adequa o serviço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Dados!$D$50:$H$50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Dados!$D$54:$H$54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69-40BF-886A-38D01E2A7047}"/>
            </c:ext>
          </c:extLst>
        </c:ser>
        <c:ser>
          <c:idx val="4"/>
          <c:order val="4"/>
          <c:tx>
            <c:strRef>
              <c:f>Dados!$B$55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Dados!$D$50:$H$50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Dados!$D$55:$H$55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69-40BF-886A-38D01E2A70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63216"/>
        <c:axId val="-11573552"/>
      </c:barChart>
      <c:catAx>
        <c:axId val="-1156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3552"/>
        <c:crosses val="autoZero"/>
        <c:auto val="1"/>
        <c:lblAlgn val="ctr"/>
        <c:lblOffset val="100"/>
        <c:noMultiLvlLbl val="0"/>
      </c:catAx>
      <c:valAx>
        <c:axId val="-11573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3216"/>
        <c:crosses val="autoZero"/>
        <c:crossBetween val="between"/>
        <c:majorUnit val="1"/>
        <c:minorUnit val="1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Procedimentos</a:t>
            </a:r>
          </a:p>
        </c:rich>
      </c:tx>
      <c:layout>
        <c:manualLayout>
          <c:xMode val="edge"/>
          <c:yMode val="edge"/>
          <c:x val="0.41694588044453817"/>
          <c:y val="3.6919429778504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Dados!$B$89</c:f>
              <c:strCache>
                <c:ptCount val="1"/>
                <c:pt idx="0">
                  <c:v>Inadequados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Dados!$D$88:$H$88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Dados!$D$89:$H$89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7-40AF-96D9-141413517F96}"/>
            </c:ext>
          </c:extLst>
        </c:ser>
        <c:ser>
          <c:idx val="1"/>
          <c:order val="1"/>
          <c:tx>
            <c:strRef>
              <c:f>Dados!$B$90</c:f>
              <c:strCache>
                <c:ptCount val="1"/>
                <c:pt idx="0">
                  <c:v>Não existem procedimentos escritos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Dados!$D$88:$H$88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Dados!$D$90:$H$90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7-40AF-96D9-141413517F96}"/>
            </c:ext>
          </c:extLst>
        </c:ser>
        <c:ser>
          <c:idx val="2"/>
          <c:order val="2"/>
          <c:tx>
            <c:strRef>
              <c:f>Dados!$B$91</c:f>
              <c:strCache>
                <c:ptCount val="1"/>
                <c:pt idx="0">
                  <c:v>Adequados e não são seguidos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Dados!$D$88:$H$88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Dados!$D$91:$H$91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7-40AF-96D9-141413517F96}"/>
            </c:ext>
          </c:extLst>
        </c:ser>
        <c:ser>
          <c:idx val="3"/>
          <c:order val="3"/>
          <c:tx>
            <c:strRef>
              <c:f>Dados!$B$92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Dados!$D$88:$H$88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Dados!$D$92:$H$92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E7-40AF-96D9-141413517F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73008"/>
        <c:axId val="-11571376"/>
      </c:barChart>
      <c:catAx>
        <c:axId val="-115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1376"/>
        <c:crosses val="autoZero"/>
        <c:auto val="1"/>
        <c:lblAlgn val="ctr"/>
        <c:lblOffset val="100"/>
        <c:noMultiLvlLbl val="0"/>
      </c:catAx>
      <c:valAx>
        <c:axId val="-115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73008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Ferramentas e Equipamentos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Dados!$B$83</c:f>
              <c:strCache>
                <c:ptCount val="1"/>
                <c:pt idx="0">
                  <c:v>Impróprio para o serviço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Dados!$D$82:$H$82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Dados!$D$83:$H$83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E-4A5D-A0E6-F9D0F5D8E592}"/>
            </c:ext>
          </c:extLst>
        </c:ser>
        <c:ser>
          <c:idx val="1"/>
          <c:order val="1"/>
          <c:tx>
            <c:strRef>
              <c:f>Dados!$B$84</c:f>
              <c:strCache>
                <c:ptCount val="1"/>
                <c:pt idx="0">
                  <c:v>Usados incorretamente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Dados!$D$82:$H$82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Dados!$D$84:$H$84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E-4A5D-A0E6-F9D0F5D8E592}"/>
            </c:ext>
          </c:extLst>
        </c:ser>
        <c:ser>
          <c:idx val="2"/>
          <c:order val="2"/>
          <c:tx>
            <c:strRef>
              <c:f>Dados!$B$85</c:f>
              <c:strCache>
                <c:ptCount val="1"/>
                <c:pt idx="0">
                  <c:v>Em condição inseguras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Dados!$D$82:$H$82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Dados!$D$85:$H$85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E-4A5D-A0E6-F9D0F5D8E592}"/>
            </c:ext>
          </c:extLst>
        </c:ser>
        <c:ser>
          <c:idx val="3"/>
          <c:order val="3"/>
          <c:tx>
            <c:strRef>
              <c:f>Dados!$B$86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Dados!$D$82:$H$82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Dados!$D$86:$H$86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8E-4A5D-A0E6-F9D0F5D8E5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68656"/>
        <c:axId val="-11567024"/>
      </c:barChart>
      <c:catAx>
        <c:axId val="-11568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7024"/>
        <c:crosses val="autoZero"/>
        <c:auto val="1"/>
        <c:lblAlgn val="ctr"/>
        <c:lblOffset val="100"/>
        <c:tickMarkSkip val="1"/>
        <c:noMultiLvlLbl val="0"/>
      </c:catAx>
      <c:valAx>
        <c:axId val="-11567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8656"/>
        <c:crosses val="autoZero"/>
        <c:crossBetween val="between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Padrões de Organização</a:t>
            </a:r>
          </a:p>
        </c:rich>
      </c:tx>
      <c:layout>
        <c:manualLayout>
          <c:xMode val="edge"/>
          <c:yMode val="edge"/>
          <c:x val="0.39890184336695006"/>
          <c:y val="3.4228109600753322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Dados!$B$95</c:f>
              <c:strCache>
                <c:ptCount val="1"/>
                <c:pt idx="0">
                  <c:v>Local sujo/desorganizado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Dados!$D$94:$H$94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Dados!$D$95:$H$95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7-401B-9E29-F5B03E8E1F7D}"/>
            </c:ext>
          </c:extLst>
        </c:ser>
        <c:ser>
          <c:idx val="1"/>
          <c:order val="1"/>
          <c:tx>
            <c:strRef>
              <c:f>Dados!$B$96</c:f>
              <c:strCache>
                <c:ptCount val="1"/>
                <c:pt idx="0">
                  <c:v>Armazenamento inadequado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Dados!$D$94:$H$94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Dados!$D$96:$H$96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7-401B-9E29-F5B03E8E1F7D}"/>
            </c:ext>
          </c:extLst>
        </c:ser>
        <c:ser>
          <c:idx val="2"/>
          <c:order val="2"/>
          <c:tx>
            <c:strRef>
              <c:f>Dados!$B$97</c:f>
              <c:strCache>
                <c:ptCount val="1"/>
                <c:pt idx="0">
                  <c:v>Contaminação Ambiental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Dados!$D$94:$H$94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Dados!$D$97:$H$97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7-401B-9E29-F5B03E8E1F7D}"/>
            </c:ext>
          </c:extLst>
        </c:ser>
        <c:ser>
          <c:idx val="3"/>
          <c:order val="3"/>
          <c:tx>
            <c:strRef>
              <c:f>Dados!$B$98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Dados!$D$94:$H$94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Dados!$D$98:$H$98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E7-401B-9E29-F5B03E8E1F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1565936"/>
        <c:axId val="-11565392"/>
      </c:barChart>
      <c:catAx>
        <c:axId val="-1156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5392"/>
        <c:crosses val="autoZero"/>
        <c:auto val="1"/>
        <c:lblAlgn val="ctr"/>
        <c:lblOffset val="100"/>
        <c:noMultiLvlLbl val="0"/>
      </c:catAx>
      <c:valAx>
        <c:axId val="-11565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565936"/>
        <c:crosses val="autoZero"/>
        <c:crossBetween val="between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Desvios por Categoria 
</a:t>
            </a:r>
          </a:p>
        </c:rich>
      </c:tx>
      <c:layout>
        <c:manualLayout>
          <c:xMode val="edge"/>
          <c:yMode val="edge"/>
          <c:x val="0.36415733583760745"/>
          <c:y val="3.33025957306667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391027104967373E-2"/>
          <c:y val="0.25809528971759987"/>
          <c:w val="0.90103306062682198"/>
          <c:h val="0.54949319746327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Dados!$B$42</c:f>
              <c:strCache>
                <c:ptCount val="1"/>
                <c:pt idx="0">
                  <c:v>EPI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Dados!$D$42:$H$42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2E-4037-8C24-A9A38D629EFB}"/>
            </c:ext>
          </c:extLst>
        </c:ser>
        <c:ser>
          <c:idx val="1"/>
          <c:order val="1"/>
          <c:tx>
            <c:strRef>
              <c:f>Dados!$B$43</c:f>
              <c:strCache>
                <c:ptCount val="1"/>
                <c:pt idx="0">
                  <c:v>Posição das Pessoas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Dados!$D$43:$H$43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2E-4037-8C24-A9A38D629EFB}"/>
            </c:ext>
          </c:extLst>
        </c:ser>
        <c:ser>
          <c:idx val="2"/>
          <c:order val="2"/>
          <c:tx>
            <c:strRef>
              <c:f>Dados!$B$44</c:f>
              <c:strCache>
                <c:ptCount val="1"/>
                <c:pt idx="0">
                  <c:v>Ação Quando Observado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Dados!$D$44:$H$44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2E-4037-8C24-A9A38D629EFB}"/>
            </c:ext>
          </c:extLst>
        </c:ser>
        <c:ser>
          <c:idx val="3"/>
          <c:order val="3"/>
          <c:tx>
            <c:strRef>
              <c:f>Dados!$B$45</c:f>
              <c:strCache>
                <c:ptCount val="1"/>
                <c:pt idx="0">
                  <c:v>Procedimentos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Dados!$D$45:$H$45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2E-4037-8C24-A9A38D629EFB}"/>
            </c:ext>
          </c:extLst>
        </c:ser>
        <c:ser>
          <c:idx val="4"/>
          <c:order val="4"/>
          <c:tx>
            <c:strRef>
              <c:f>Dados!$B$46</c:f>
              <c:strCache>
                <c:ptCount val="1"/>
                <c:pt idx="0">
                  <c:v>Ferramentas e Equipamentos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Dados!$D$46:$H$46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2E-4037-8C24-A9A38D629EFB}"/>
            </c:ext>
          </c:extLst>
        </c:ser>
        <c:ser>
          <c:idx val="5"/>
          <c:order val="5"/>
          <c:tx>
            <c:strRef>
              <c:f>Dados!$B$47</c:f>
              <c:strCache>
                <c:ptCount val="1"/>
                <c:pt idx="0">
                  <c:v>Padrões de Organização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Dados!$D$47:$H$47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2E-4037-8C24-A9A38D629EFB}"/>
            </c:ext>
          </c:extLst>
        </c:ser>
        <c:ser>
          <c:idx val="6"/>
          <c:order val="6"/>
          <c:tx>
            <c:strRef>
              <c:f>Dados!$B$48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Dados!$D$41:$H$41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Dados!$D$48:$H$48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0-48FD-B4CF-F5876B6AD5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1572464"/>
        <c:axId val="-11569744"/>
        <c:extLst/>
      </c:barChart>
      <c:catAx>
        <c:axId val="-1157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11569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1569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pt-BR"/>
          </a:p>
        </c:txPr>
        <c:crossAx val="-11572464"/>
        <c:crosses val="autoZero"/>
        <c:crossBetween val="between"/>
        <c:majorUnit val="1"/>
        <c:minorUnit val="1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7412968603227923E-2"/>
          <c:y val="0.88302048553886614"/>
          <c:w val="0.97040590931086501"/>
          <c:h val="0.116979514461133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image" Target="../media/image3.png"/><Relationship Id="rId16" Type="http://schemas.openxmlformats.org/officeDocument/2006/relationships/chart" Target="../charts/chart14.xml"/><Relationship Id="rId1" Type="http://schemas.openxmlformats.org/officeDocument/2006/relationships/image" Target="../media/image2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86B0946E-28E5-43AF-8FF4-84DDC3108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883475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4AA5645D-4F53-4BC5-8DD7-C1A5516D9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883475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9EEC8022-1630-4485-B198-A5129DE9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883475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8E0CED03-4F1C-476A-ADCA-F726A51EB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883475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38326282-4ACF-4C65-9470-944E73CD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839025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B8B59F78-8A86-41DC-8945-4E1377FE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126907A8-2F62-491B-956D-6A6858CF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0B4B2C0A-476B-4E79-9F91-D955B1829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F2C3FB42-02F7-49B5-BEDC-24A58B023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2D0B1084-9DCF-48BA-8299-2B64B8051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322760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2AE4F014-7F21-4D3C-B8BC-980FD4E73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322760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3A76BA1B-5DB0-4A4D-AFBF-859E98405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3D91F24F-1820-4337-97B8-11160FDC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17F727E8-94B3-4EDB-ADCC-99C61869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6487B7F3-9C08-470C-A5BE-A718952B4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6CA11A67-9B89-412F-9DD9-AF0DA07D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A4842FAA-F586-4F32-B3D2-9AB573225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C6FF6D13-6C6D-4D0E-8CA4-61D71A94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08E7B641-C7F6-4733-9C0F-97F9360C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B038104F-03F6-4EB6-8458-320281B6E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2EBA52FE-3E56-488D-8E18-AD02E047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CCE06627-0E8C-4DCA-B67A-68A9E51BC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C6AD5653-08ED-406D-A84E-1B06DC4E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EDE61959-FD18-493D-BD36-33AB0D8B1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10463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95667765-7A1B-4E15-9823-CFA8416D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2D940FC2-EFE4-4223-A6E3-5D974FAA1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FB913991-2F70-4786-911B-B64D1B552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959DE79F-E3EA-40CD-ACA9-C99BB981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F63DC75D-D88D-45D2-969F-D7301D292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229813</xdr:colOff>
      <xdr:row>0</xdr:row>
      <xdr:rowOff>31010</xdr:rowOff>
    </xdr:from>
    <xdr:to>
      <xdr:col>1</xdr:col>
      <xdr:colOff>78238</xdr:colOff>
      <xdr:row>0</xdr:row>
      <xdr:rowOff>326570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3102D65A-B588-4957-9B30-0F6A2F92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13" y="31010"/>
          <a:ext cx="905700" cy="29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1</xdr:row>
      <xdr:rowOff>57863</xdr:rowOff>
    </xdr:from>
    <xdr:to>
      <xdr:col>1</xdr:col>
      <xdr:colOff>2114550</xdr:colOff>
      <xdr:row>1</xdr:row>
      <xdr:rowOff>530965</xdr:rowOff>
    </xdr:to>
    <xdr:pic>
      <xdr:nvPicPr>
        <xdr:cNvPr id="2" name="Imagem 1" descr="C:\Users\cwbkubiayu\Desktop\Logo Valmet.jpg">
          <a:extLst>
            <a:ext uri="{FF2B5EF4-FFF2-40B4-BE49-F238E27FC236}">
              <a16:creationId xmlns:a16="http://schemas.microsoft.com/office/drawing/2014/main" id="{4ED57A79-149F-430E-9CD0-39646CD0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81688"/>
          <a:ext cx="1343025" cy="473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103187</xdr:colOff>
      <xdr:row>1</xdr:row>
      <xdr:rowOff>106362</xdr:rowOff>
    </xdr:from>
    <xdr:to>
      <xdr:col>1</xdr:col>
      <xdr:colOff>263525</xdr:colOff>
      <xdr:row>4</xdr:row>
      <xdr:rowOff>66674</xdr:rowOff>
    </xdr:to>
    <xdr:pic>
      <xdr:nvPicPr>
        <xdr:cNvPr id="2" name="Picture 32" descr="valmet_logo_RGB.jpg">
          <a:extLst>
            <a:ext uri="{FF2B5EF4-FFF2-40B4-BE49-F238E27FC236}">
              <a16:creationId xmlns:a16="http://schemas.microsoft.com/office/drawing/2014/main" id="{E777B308-E035-4B19-84C4-FCBE83202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" y="277812"/>
          <a:ext cx="1379538" cy="474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123825</xdr:colOff>
      <xdr:row>1</xdr:row>
      <xdr:rowOff>26987</xdr:rowOff>
    </xdr:from>
    <xdr:to>
      <xdr:col>9</xdr:col>
      <xdr:colOff>658813</xdr:colOff>
      <xdr:row>5</xdr:row>
      <xdr:rowOff>39687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A563F1D0-0C4B-4C89-8A19-8156892B1082}"/>
            </a:ext>
          </a:extLst>
        </xdr:cNvPr>
        <xdr:cNvSpPr txBox="1"/>
      </xdr:nvSpPr>
      <xdr:spPr>
        <a:xfrm>
          <a:off x="6991350" y="198437"/>
          <a:ext cx="1287463" cy="698500"/>
        </a:xfrm>
        <a:prstGeom prst="rect">
          <a:avLst/>
        </a:prstGeom>
        <a:noFill/>
      </xdr:spPr>
      <xdr:txBody>
        <a:bodyPr wrap="square" rtlCol="0" anchor="t">
          <a:noAutofit/>
        </a:bodyPr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 baseline="0">
              <a:solidFill>
                <a:srgbClr val="00B05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Broadway" panose="04040905080B02020502" pitchFamily="82" charset="0"/>
            </a:rPr>
            <a:t> </a:t>
          </a:r>
          <a:r>
            <a:rPr lang="pt-BR" sz="3600">
              <a:solidFill>
                <a:srgbClr val="00B05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Broadway" panose="04040905080B02020502" pitchFamily="82" charset="0"/>
            </a:rPr>
            <a:t>IPF</a:t>
          </a:r>
        </a:p>
      </xdr:txBody>
    </xdr:sp>
    <xdr:clientData/>
  </xdr:twoCellAnchor>
  <xdr:twoCellAnchor>
    <xdr:from>
      <xdr:col>0</xdr:col>
      <xdr:colOff>562675</xdr:colOff>
      <xdr:row>11</xdr:row>
      <xdr:rowOff>111128</xdr:rowOff>
    </xdr:from>
    <xdr:to>
      <xdr:col>1</xdr:col>
      <xdr:colOff>296036</xdr:colOff>
      <xdr:row>17</xdr:row>
      <xdr:rowOff>38099</xdr:rowOff>
    </xdr:to>
    <xdr:grpSp>
      <xdr:nvGrpSpPr>
        <xdr:cNvPr id="4" name="Group 14">
          <a:extLst>
            <a:ext uri="{FF2B5EF4-FFF2-40B4-BE49-F238E27FC236}">
              <a16:creationId xmlns:a16="http://schemas.microsoft.com/office/drawing/2014/main" id="{ED8654D0-7D51-4141-83CA-84C73AE6F565}"/>
            </a:ext>
          </a:extLst>
        </xdr:cNvPr>
        <xdr:cNvGrpSpPr>
          <a:grpSpLocks/>
        </xdr:cNvGrpSpPr>
      </xdr:nvGrpSpPr>
      <xdr:grpSpPr bwMode="auto">
        <a:xfrm>
          <a:off x="562675" y="1957513"/>
          <a:ext cx="929115" cy="946878"/>
          <a:chOff x="466924" y="5009663"/>
          <a:chExt cx="607063" cy="1147636"/>
        </a:xfrm>
      </xdr:grpSpPr>
      <xdr:pic>
        <xdr:nvPicPr>
          <xdr:cNvPr id="5" name="Picture 15" descr="Ilustração gratis: &lt;strong&gt;Alvo&lt;/strong&gt;, Dardo, Objectivo, Sucesso - Imagem gratis ...">
            <a:extLst>
              <a:ext uri="{FF2B5EF4-FFF2-40B4-BE49-F238E27FC236}">
                <a16:creationId xmlns:a16="http://schemas.microsoft.com/office/drawing/2014/main" id="{786025C6-F9CF-4D7B-A2A6-84464131C4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0997" y="5315047"/>
            <a:ext cx="492885" cy="8422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Rectangle 34">
            <a:extLst>
              <a:ext uri="{FF2B5EF4-FFF2-40B4-BE49-F238E27FC236}">
                <a16:creationId xmlns:a16="http://schemas.microsoft.com/office/drawing/2014/main" id="{CC8096F1-1C01-4C01-A195-754570FB8F9A}"/>
              </a:ext>
            </a:extLst>
          </xdr:cNvPr>
          <xdr:cNvSpPr/>
        </xdr:nvSpPr>
        <xdr:spPr>
          <a:xfrm>
            <a:off x="466924" y="5009663"/>
            <a:ext cx="607063" cy="25683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>
            <a:defPPr>
              <a:defRPr lang="fi-FI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 b="1" cap="none" spc="0">
                <a:ln w="12700">
                  <a:solidFill>
                    <a:schemeClr val="accent1"/>
                  </a:solidFill>
                  <a:prstDash val="solid"/>
                </a:ln>
                <a:solidFill>
                  <a:srgbClr val="00B050"/>
                </a:solidFill>
                <a:effectLst>
                  <a:outerShdw dist="38100" dir="2640000" algn="bl" rotWithShape="0">
                    <a:schemeClr val="accent1"/>
                  </a:outerShdw>
                </a:effectLst>
              </a:rPr>
              <a:t>&gt; 7</a:t>
            </a:r>
          </a:p>
        </xdr:txBody>
      </xdr:sp>
    </xdr:grpSp>
    <xdr:clientData/>
  </xdr:twoCellAnchor>
  <xdr:twoCellAnchor>
    <xdr:from>
      <xdr:col>2</xdr:col>
      <xdr:colOff>470989</xdr:colOff>
      <xdr:row>13</xdr:row>
      <xdr:rowOff>17235</xdr:rowOff>
    </xdr:from>
    <xdr:to>
      <xdr:col>2</xdr:col>
      <xdr:colOff>614989</xdr:colOff>
      <xdr:row>13</xdr:row>
      <xdr:rowOff>161235</xdr:rowOff>
    </xdr:to>
    <xdr:sp macro="" textlink="">
      <xdr:nvSpPr>
        <xdr:cNvPr id="7" name="Chevron 13">
          <a:extLst>
            <a:ext uri="{FF2B5EF4-FFF2-40B4-BE49-F238E27FC236}">
              <a16:creationId xmlns:a16="http://schemas.microsoft.com/office/drawing/2014/main" id="{AFCDDF90-4EBE-4D6E-9246-703D20CD2B95}"/>
            </a:ext>
          </a:extLst>
        </xdr:cNvPr>
        <xdr:cNvSpPr/>
      </xdr:nvSpPr>
      <xdr:spPr>
        <a:xfrm>
          <a:off x="2347414" y="2379435"/>
          <a:ext cx="144000" cy="144000"/>
        </a:xfrm>
        <a:prstGeom prst="chevr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495299</xdr:colOff>
      <xdr:row>15</xdr:row>
      <xdr:rowOff>96612</xdr:rowOff>
    </xdr:from>
    <xdr:to>
      <xdr:col>2</xdr:col>
      <xdr:colOff>639299</xdr:colOff>
      <xdr:row>16</xdr:row>
      <xdr:rowOff>59637</xdr:rowOff>
    </xdr:to>
    <xdr:sp macro="" textlink="">
      <xdr:nvSpPr>
        <xdr:cNvPr id="8" name="Chevron 13">
          <a:extLst>
            <a:ext uri="{FF2B5EF4-FFF2-40B4-BE49-F238E27FC236}">
              <a16:creationId xmlns:a16="http://schemas.microsoft.com/office/drawing/2014/main" id="{521F48F3-1A90-4B51-BAF3-DDAAD0179EBB}"/>
            </a:ext>
          </a:extLst>
        </xdr:cNvPr>
        <xdr:cNvSpPr/>
      </xdr:nvSpPr>
      <xdr:spPr>
        <a:xfrm>
          <a:off x="2463799" y="2795362"/>
          <a:ext cx="144000" cy="140825"/>
        </a:xfrm>
        <a:prstGeom prst="chevr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1162049</xdr:colOff>
      <xdr:row>47</xdr:row>
      <xdr:rowOff>73025</xdr:rowOff>
    </xdr:from>
    <xdr:to>
      <xdr:col>9</xdr:col>
      <xdr:colOff>0</xdr:colOff>
      <xdr:row>68</xdr:row>
      <xdr:rowOff>92600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69067FE9-2183-452C-BDE5-AFA8BFF1A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123825</xdr:colOff>
      <xdr:row>68</xdr:row>
      <xdr:rowOff>63500</xdr:rowOff>
    </xdr:from>
    <xdr:to>
      <xdr:col>9</xdr:col>
      <xdr:colOff>114300</xdr:colOff>
      <xdr:row>69</xdr:row>
      <xdr:rowOff>152400</xdr:rowOff>
    </xdr:to>
    <xdr:sp macro="" textlink="">
      <xdr:nvSpPr>
        <xdr:cNvPr id="11" name="TextBox 32">
          <a:extLst>
            <a:ext uri="{FF2B5EF4-FFF2-40B4-BE49-F238E27FC236}">
              <a16:creationId xmlns:a16="http://schemas.microsoft.com/office/drawing/2014/main" id="{A2E6A453-63A9-4C05-B3CF-64723750DE03}"/>
            </a:ext>
          </a:extLst>
        </xdr:cNvPr>
        <xdr:cNvSpPr txBox="1"/>
      </xdr:nvSpPr>
      <xdr:spPr>
        <a:xfrm>
          <a:off x="5572125" y="11893550"/>
          <a:ext cx="1781175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[* n/a = indica que o m~es tem 4 semanas</a:t>
          </a:r>
          <a:r>
            <a:rPr lang="en-US" sz="700" baseline="0"/>
            <a:t>]</a:t>
          </a:r>
          <a:endParaRPr lang="en-US" sz="700"/>
        </a:p>
      </xdr:txBody>
    </xdr:sp>
    <xdr:clientData/>
  </xdr:twoCellAnchor>
  <xdr:twoCellAnchor>
    <xdr:from>
      <xdr:col>0</xdr:col>
      <xdr:colOff>38099</xdr:colOff>
      <xdr:row>75</xdr:row>
      <xdr:rowOff>16</xdr:rowOff>
    </xdr:from>
    <xdr:to>
      <xdr:col>0</xdr:col>
      <xdr:colOff>182099</xdr:colOff>
      <xdr:row>75</xdr:row>
      <xdr:rowOff>180016</xdr:rowOff>
    </xdr:to>
    <xdr:sp macro="" textlink="">
      <xdr:nvSpPr>
        <xdr:cNvPr id="17" name="Chevron 5">
          <a:extLst>
            <a:ext uri="{FF2B5EF4-FFF2-40B4-BE49-F238E27FC236}">
              <a16:creationId xmlns:a16="http://schemas.microsoft.com/office/drawing/2014/main" id="{A05C500A-DFC9-4E90-9AA6-74112BFFAC6A}"/>
            </a:ext>
          </a:extLst>
        </xdr:cNvPr>
        <xdr:cNvSpPr/>
      </xdr:nvSpPr>
      <xdr:spPr>
        <a:xfrm>
          <a:off x="38099" y="13382641"/>
          <a:ext cx="144000" cy="160950"/>
        </a:xfrm>
        <a:prstGeom prst="chevr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918916</xdr:colOff>
      <xdr:row>70</xdr:row>
      <xdr:rowOff>140755</xdr:rowOff>
    </xdr:from>
    <xdr:to>
      <xdr:col>0</xdr:col>
      <xdr:colOff>1061163</xdr:colOff>
      <xdr:row>72</xdr:row>
      <xdr:rowOff>44128</xdr:rowOff>
    </xdr:to>
    <xdr:sp macro="" textlink="">
      <xdr:nvSpPr>
        <xdr:cNvPr id="18" name="Chevron 17">
          <a:extLst>
            <a:ext uri="{FF2B5EF4-FFF2-40B4-BE49-F238E27FC236}">
              <a16:creationId xmlns:a16="http://schemas.microsoft.com/office/drawing/2014/main" id="{97C81674-46C4-4014-8905-AFB30DFB0505}"/>
            </a:ext>
          </a:extLst>
        </xdr:cNvPr>
        <xdr:cNvSpPr/>
      </xdr:nvSpPr>
      <xdr:spPr>
        <a:xfrm>
          <a:off x="918916" y="12361330"/>
          <a:ext cx="142247" cy="236748"/>
        </a:xfrm>
        <a:prstGeom prst="chevr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21</xdr:row>
      <xdr:rowOff>119062</xdr:rowOff>
    </xdr:from>
    <xdr:to>
      <xdr:col>8</xdr:col>
      <xdr:colOff>704851</xdr:colOff>
      <xdr:row>42</xdr:row>
      <xdr:rowOff>129112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D5415363-8F6D-4715-B835-350A1CB0E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918916</xdr:colOff>
      <xdr:row>18</xdr:row>
      <xdr:rowOff>140755</xdr:rowOff>
    </xdr:from>
    <xdr:to>
      <xdr:col>0</xdr:col>
      <xdr:colOff>1061163</xdr:colOff>
      <xdr:row>20</xdr:row>
      <xdr:rowOff>44128</xdr:rowOff>
    </xdr:to>
    <xdr:sp macro="" textlink="">
      <xdr:nvSpPr>
        <xdr:cNvPr id="21" name="Chevron 17">
          <a:extLst>
            <a:ext uri="{FF2B5EF4-FFF2-40B4-BE49-F238E27FC236}">
              <a16:creationId xmlns:a16="http://schemas.microsoft.com/office/drawing/2014/main" id="{027F3FEE-A9FE-4F03-A9D8-8AE4698FF9DE}"/>
            </a:ext>
          </a:extLst>
        </xdr:cNvPr>
        <xdr:cNvSpPr/>
      </xdr:nvSpPr>
      <xdr:spPr>
        <a:xfrm>
          <a:off x="918916" y="3684055"/>
          <a:ext cx="142247" cy="236748"/>
        </a:xfrm>
        <a:prstGeom prst="chevr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38100</xdr:colOff>
      <xdr:row>46</xdr:row>
      <xdr:rowOff>9525</xdr:rowOff>
    </xdr:from>
    <xdr:to>
      <xdr:col>0</xdr:col>
      <xdr:colOff>179321</xdr:colOff>
      <xdr:row>47</xdr:row>
      <xdr:rowOff>27619</xdr:rowOff>
    </xdr:to>
    <xdr:sp macro="" textlink="">
      <xdr:nvSpPr>
        <xdr:cNvPr id="22" name="Chevron 5">
          <a:extLst>
            <a:ext uri="{FF2B5EF4-FFF2-40B4-BE49-F238E27FC236}">
              <a16:creationId xmlns:a16="http://schemas.microsoft.com/office/drawing/2014/main" id="{AB804C74-AF05-493D-A91E-2900099D3E7C}"/>
            </a:ext>
          </a:extLst>
        </xdr:cNvPr>
        <xdr:cNvSpPr/>
      </xdr:nvSpPr>
      <xdr:spPr>
        <a:xfrm>
          <a:off x="38100" y="8277225"/>
          <a:ext cx="141221" cy="180019"/>
        </a:xfrm>
        <a:prstGeom prst="chevron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i-FI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571500</xdr:colOff>
      <xdr:row>77</xdr:row>
      <xdr:rowOff>0</xdr:rowOff>
    </xdr:from>
    <xdr:to>
      <xdr:col>9</xdr:col>
      <xdr:colOff>28500</xdr:colOff>
      <xdr:row>95</xdr:row>
      <xdr:rowOff>73350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D0E6DCF5-942F-4E07-8821-D0ED6B80B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552449</xdr:colOff>
      <xdr:row>96</xdr:row>
      <xdr:rowOff>9525</xdr:rowOff>
    </xdr:from>
    <xdr:to>
      <xdr:col>9</xdr:col>
      <xdr:colOff>9449</xdr:colOff>
      <xdr:row>114</xdr:row>
      <xdr:rowOff>82875</xdr:rowOff>
    </xdr:to>
    <xdr:graphicFrame macro="">
      <xdr:nvGraphicFramePr>
        <xdr:cNvPr id="27" name="Gráfico 3">
          <a:extLst>
            <a:ext uri="{FF2B5EF4-FFF2-40B4-BE49-F238E27FC236}">
              <a16:creationId xmlns:a16="http://schemas.microsoft.com/office/drawing/2014/main" id="{2F06082C-9950-4B01-BF4C-BADC52F05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571500</xdr:colOff>
      <xdr:row>115</xdr:row>
      <xdr:rowOff>0</xdr:rowOff>
    </xdr:from>
    <xdr:to>
      <xdr:col>9</xdr:col>
      <xdr:colOff>28500</xdr:colOff>
      <xdr:row>133</xdr:row>
      <xdr:rowOff>73350</xdr:rowOff>
    </xdr:to>
    <xdr:graphicFrame macro="">
      <xdr:nvGraphicFramePr>
        <xdr:cNvPr id="28" name="Gráfico 4">
          <a:extLst>
            <a:ext uri="{FF2B5EF4-FFF2-40B4-BE49-F238E27FC236}">
              <a16:creationId xmlns:a16="http://schemas.microsoft.com/office/drawing/2014/main" id="{F1E3E035-8F60-4E63-AAA7-F50D9F04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584198</xdr:colOff>
      <xdr:row>134</xdr:row>
      <xdr:rowOff>120650</xdr:rowOff>
    </xdr:from>
    <xdr:to>
      <xdr:col>9</xdr:col>
      <xdr:colOff>38023</xdr:colOff>
      <xdr:row>153</xdr:row>
      <xdr:rowOff>38425</xdr:rowOff>
    </xdr:to>
    <xdr:graphicFrame macro="">
      <xdr:nvGraphicFramePr>
        <xdr:cNvPr id="29" name="Chart 6">
          <a:extLst>
            <a:ext uri="{FF2B5EF4-FFF2-40B4-BE49-F238E27FC236}">
              <a16:creationId xmlns:a16="http://schemas.microsoft.com/office/drawing/2014/main" id="{FA9C9354-9537-476D-984B-60B91045F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590550</xdr:colOff>
      <xdr:row>153</xdr:row>
      <xdr:rowOff>117474</xdr:rowOff>
    </xdr:from>
    <xdr:to>
      <xdr:col>9</xdr:col>
      <xdr:colOff>38025</xdr:colOff>
      <xdr:row>172</xdr:row>
      <xdr:rowOff>25724</xdr:rowOff>
    </xdr:to>
    <xdr:graphicFrame macro="">
      <xdr:nvGraphicFramePr>
        <xdr:cNvPr id="30" name="Gráfico 8">
          <a:extLst>
            <a:ext uri="{FF2B5EF4-FFF2-40B4-BE49-F238E27FC236}">
              <a16:creationId xmlns:a16="http://schemas.microsoft.com/office/drawing/2014/main" id="{8155CF86-8C6D-4FD4-B404-35EA97B38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577850</xdr:colOff>
      <xdr:row>191</xdr:row>
      <xdr:rowOff>73025</xdr:rowOff>
    </xdr:from>
    <xdr:to>
      <xdr:col>9</xdr:col>
      <xdr:colOff>41200</xdr:colOff>
      <xdr:row>209</xdr:row>
      <xdr:rowOff>152725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6907643C-F36C-4146-9FF2-EBF3AD906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530225</xdr:colOff>
      <xdr:row>211</xdr:row>
      <xdr:rowOff>73025</xdr:rowOff>
    </xdr:from>
    <xdr:to>
      <xdr:col>8</xdr:col>
      <xdr:colOff>742875</xdr:colOff>
      <xdr:row>229</xdr:row>
      <xdr:rowOff>152725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BE9CCC73-BC50-4F34-9C5E-1461DC988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561975</xdr:colOff>
      <xdr:row>230</xdr:row>
      <xdr:rowOff>92075</xdr:rowOff>
    </xdr:from>
    <xdr:to>
      <xdr:col>8</xdr:col>
      <xdr:colOff>733350</xdr:colOff>
      <xdr:row>249</xdr:row>
      <xdr:rowOff>6675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D71CBE7A-7917-4D9B-A2F1-4F9DA25EF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561975</xdr:colOff>
      <xdr:row>249</xdr:row>
      <xdr:rowOff>92075</xdr:rowOff>
    </xdr:from>
    <xdr:to>
      <xdr:col>8</xdr:col>
      <xdr:colOff>733350</xdr:colOff>
      <xdr:row>268</xdr:row>
      <xdr:rowOff>6675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B5C3A15-F385-4BC5-AC25-6E2FEF6C6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552450</xdr:colOff>
      <xdr:row>268</xdr:row>
      <xdr:rowOff>101600</xdr:rowOff>
    </xdr:from>
    <xdr:to>
      <xdr:col>8</xdr:col>
      <xdr:colOff>723825</xdr:colOff>
      <xdr:row>287</xdr:row>
      <xdr:rowOff>19375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A59C36DF-8F73-4AA8-9A18-8AFD3C365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561975</xdr:colOff>
      <xdr:row>288</xdr:row>
      <xdr:rowOff>120650</xdr:rowOff>
    </xdr:from>
    <xdr:to>
      <xdr:col>8</xdr:col>
      <xdr:colOff>733350</xdr:colOff>
      <xdr:row>307</xdr:row>
      <xdr:rowOff>35250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B383429E-759F-4B93-982E-B130618B8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609600</xdr:colOff>
      <xdr:row>172</xdr:row>
      <xdr:rowOff>95250</xdr:rowOff>
    </xdr:from>
    <xdr:to>
      <xdr:col>9</xdr:col>
      <xdr:colOff>41200</xdr:colOff>
      <xdr:row>191</xdr:row>
      <xdr:rowOff>6675</xdr:rowOff>
    </xdr:to>
    <xdr:graphicFrame macro="">
      <xdr:nvGraphicFramePr>
        <xdr:cNvPr id="9" name="Chart 16">
          <a:extLst>
            <a:ext uri="{FF2B5EF4-FFF2-40B4-BE49-F238E27FC236}">
              <a16:creationId xmlns:a16="http://schemas.microsoft.com/office/drawing/2014/main" id="{71F9A2A7-0967-4DA8-BB65-2F4915AA4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C000"/>
  </sheetPr>
  <dimension ref="A1:L79"/>
  <sheetViews>
    <sheetView showGridLines="0" topLeftCell="A34" zoomScaleNormal="100" zoomScaleSheetLayoutView="104" workbookViewId="0">
      <selection activeCell="E49" sqref="E49:H49"/>
    </sheetView>
  </sheetViews>
  <sheetFormatPr defaultColWidth="9.21875" defaultRowHeight="14.4" x14ac:dyDescent="0.3"/>
  <cols>
    <col min="1" max="1" width="14.77734375" style="20" customWidth="1"/>
    <col min="2" max="2" width="27.44140625" style="20" customWidth="1"/>
    <col min="3" max="3" width="6.5546875" style="20" customWidth="1"/>
    <col min="4" max="4" width="6.77734375" style="20" customWidth="1"/>
    <col min="5" max="5" width="16.5546875" style="20" customWidth="1"/>
    <col min="6" max="6" width="14.21875" style="20" customWidth="1"/>
    <col min="7" max="7" width="14.5546875" style="20" customWidth="1"/>
    <col min="8" max="8" width="39.77734375" style="20" customWidth="1"/>
    <col min="9" max="9" width="8.77734375" style="21"/>
    <col min="10" max="16384" width="9.21875" style="20"/>
  </cols>
  <sheetData>
    <row r="1" spans="1:9" ht="26.7" customHeight="1" x14ac:dyDescent="0.3">
      <c r="A1" s="173" t="s">
        <v>0</v>
      </c>
      <c r="B1" s="174"/>
      <c r="C1" s="174"/>
      <c r="D1" s="174"/>
      <c r="E1" s="174"/>
      <c r="F1" s="174"/>
      <c r="G1" s="174"/>
      <c r="H1" s="175"/>
    </row>
    <row r="2" spans="1:9" ht="15" customHeight="1" x14ac:dyDescent="0.3">
      <c r="A2" s="40" t="s">
        <v>1</v>
      </c>
      <c r="B2" s="49" t="s">
        <v>118</v>
      </c>
      <c r="C2" s="50"/>
      <c r="D2" s="51"/>
      <c r="E2" s="41" t="s">
        <v>2</v>
      </c>
      <c r="F2" s="176" t="s">
        <v>108</v>
      </c>
      <c r="G2" s="176"/>
      <c r="H2" s="177"/>
    </row>
    <row r="3" spans="1:9" ht="15" customHeight="1" x14ac:dyDescent="0.3">
      <c r="A3" s="40" t="s">
        <v>3</v>
      </c>
      <c r="B3" s="170"/>
      <c r="C3" s="171"/>
      <c r="D3" s="172"/>
      <c r="E3" s="41" t="s">
        <v>4</v>
      </c>
      <c r="F3" s="176" t="s">
        <v>108</v>
      </c>
      <c r="G3" s="176"/>
      <c r="H3" s="177"/>
    </row>
    <row r="4" spans="1:9" ht="16.2" customHeight="1" x14ac:dyDescent="0.3">
      <c r="A4" s="40" t="s">
        <v>5</v>
      </c>
      <c r="B4" s="170"/>
      <c r="C4" s="171"/>
      <c r="D4" s="172"/>
      <c r="E4" s="42" t="s">
        <v>6</v>
      </c>
      <c r="F4" s="178"/>
      <c r="G4" s="178"/>
      <c r="H4" s="179"/>
    </row>
    <row r="5" spans="1:9" ht="15" customHeight="1" x14ac:dyDescent="0.3">
      <c r="A5" s="40" t="s">
        <v>7</v>
      </c>
      <c r="B5" s="170"/>
      <c r="C5" s="171"/>
      <c r="D5" s="172"/>
      <c r="E5" s="43" t="s">
        <v>8</v>
      </c>
      <c r="F5" s="52"/>
      <c r="G5" s="43" t="s">
        <v>9</v>
      </c>
      <c r="H5" s="53"/>
    </row>
    <row r="6" spans="1:9" x14ac:dyDescent="0.3">
      <c r="A6" s="100" t="s">
        <v>10</v>
      </c>
      <c r="B6" s="101"/>
      <c r="C6" s="101"/>
      <c r="D6" s="101"/>
      <c r="E6" s="101"/>
      <c r="F6" s="101"/>
      <c r="G6" s="101"/>
      <c r="H6" s="102"/>
    </row>
    <row r="7" spans="1:9" ht="15" customHeight="1" x14ac:dyDescent="0.3">
      <c r="A7" s="155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7"/>
    </row>
    <row r="8" spans="1:9" ht="14.7" customHeight="1" x14ac:dyDescent="0.3">
      <c r="A8" s="145" t="s">
        <v>15</v>
      </c>
      <c r="B8" s="146"/>
      <c r="C8" s="54"/>
      <c r="D8" s="54"/>
      <c r="E8" s="162"/>
      <c r="F8" s="162"/>
      <c r="G8" s="162"/>
      <c r="H8" s="163"/>
      <c r="I8" s="21" t="str">
        <f>IF(COUNT(C8:D8)=1,"--&gt;Verifique! Item QTDE ou PESO em branco","-")</f>
        <v>-</v>
      </c>
    </row>
    <row r="9" spans="1:9" ht="14.7" customHeight="1" x14ac:dyDescent="0.3">
      <c r="A9" s="145" t="s">
        <v>16</v>
      </c>
      <c r="B9" s="146"/>
      <c r="C9" s="54"/>
      <c r="D9" s="54"/>
      <c r="E9" s="158"/>
      <c r="F9" s="147"/>
      <c r="G9" s="147"/>
      <c r="H9" s="148"/>
      <c r="I9" s="21" t="str">
        <f t="shared" ref="I9:I16" si="0">IF(COUNT(C9:D9)=1,"--&gt;Verifique! Item QTDE ou PESO em branco","-")</f>
        <v>-</v>
      </c>
    </row>
    <row r="10" spans="1:9" ht="15" customHeight="1" x14ac:dyDescent="0.3">
      <c r="A10" s="145" t="s">
        <v>17</v>
      </c>
      <c r="B10" s="146"/>
      <c r="C10" s="54"/>
      <c r="D10" s="54"/>
      <c r="E10" s="147"/>
      <c r="F10" s="147"/>
      <c r="G10" s="147"/>
      <c r="H10" s="148"/>
      <c r="I10" s="21" t="str">
        <f t="shared" si="0"/>
        <v>-</v>
      </c>
    </row>
    <row r="11" spans="1:9" ht="15" customHeight="1" x14ac:dyDescent="0.3">
      <c r="A11" s="145" t="s">
        <v>18</v>
      </c>
      <c r="B11" s="146"/>
      <c r="C11" s="54"/>
      <c r="D11" s="54"/>
      <c r="E11" s="147"/>
      <c r="F11" s="147"/>
      <c r="G11" s="147"/>
      <c r="H11" s="148"/>
      <c r="I11" s="21" t="str">
        <f t="shared" si="0"/>
        <v>-</v>
      </c>
    </row>
    <row r="12" spans="1:9" ht="15" customHeight="1" x14ac:dyDescent="0.3">
      <c r="A12" s="145" t="s">
        <v>19</v>
      </c>
      <c r="B12" s="146"/>
      <c r="C12" s="54"/>
      <c r="D12" s="54"/>
      <c r="E12" s="147"/>
      <c r="F12" s="147"/>
      <c r="G12" s="147"/>
      <c r="H12" s="148"/>
      <c r="I12" s="21" t="str">
        <f t="shared" si="0"/>
        <v>-</v>
      </c>
    </row>
    <row r="13" spans="1:9" ht="15" customHeight="1" x14ac:dyDescent="0.3">
      <c r="A13" s="145" t="s">
        <v>20</v>
      </c>
      <c r="B13" s="146"/>
      <c r="C13" s="54"/>
      <c r="D13" s="54"/>
      <c r="E13" s="147"/>
      <c r="F13" s="147"/>
      <c r="G13" s="147"/>
      <c r="H13" s="148"/>
      <c r="I13" s="21" t="str">
        <f t="shared" si="0"/>
        <v>-</v>
      </c>
    </row>
    <row r="14" spans="1:9" ht="15" customHeight="1" x14ac:dyDescent="0.3">
      <c r="A14" s="145" t="s">
        <v>21</v>
      </c>
      <c r="B14" s="146"/>
      <c r="C14" s="54"/>
      <c r="D14" s="54"/>
      <c r="E14" s="147"/>
      <c r="F14" s="147"/>
      <c r="G14" s="147"/>
      <c r="H14" s="148"/>
      <c r="I14" s="21" t="str">
        <f t="shared" si="0"/>
        <v>-</v>
      </c>
    </row>
    <row r="15" spans="1:9" ht="15" customHeight="1" x14ac:dyDescent="0.3">
      <c r="A15" s="145" t="s">
        <v>22</v>
      </c>
      <c r="B15" s="146"/>
      <c r="C15" s="54"/>
      <c r="D15" s="54"/>
      <c r="E15" s="147"/>
      <c r="F15" s="147"/>
      <c r="G15" s="147"/>
      <c r="H15" s="148"/>
      <c r="I15" s="21" t="str">
        <f t="shared" si="0"/>
        <v>-</v>
      </c>
    </row>
    <row r="16" spans="1:9" x14ac:dyDescent="0.3">
      <c r="A16" s="145" t="s">
        <v>23</v>
      </c>
      <c r="B16" s="146"/>
      <c r="C16" s="54"/>
      <c r="D16" s="54"/>
      <c r="E16" s="158"/>
      <c r="F16" s="147"/>
      <c r="G16" s="147"/>
      <c r="H16" s="148"/>
      <c r="I16" s="21" t="str">
        <f t="shared" si="0"/>
        <v>-</v>
      </c>
    </row>
    <row r="17" spans="1:12" ht="15" customHeight="1" x14ac:dyDescent="0.3">
      <c r="A17" s="151" t="s">
        <v>24</v>
      </c>
      <c r="B17" s="152"/>
      <c r="C17" s="45">
        <f>SUM(C8:C16)</f>
        <v>0</v>
      </c>
      <c r="D17" s="45"/>
      <c r="E17" s="168"/>
      <c r="F17" s="168"/>
      <c r="G17" s="168"/>
      <c r="H17" s="169"/>
      <c r="I17" s="22"/>
      <c r="J17" s="22"/>
      <c r="K17" s="23"/>
      <c r="L17" s="23"/>
    </row>
    <row r="18" spans="1:12" ht="15" customHeight="1" x14ac:dyDescent="0.3">
      <c r="A18" s="155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7"/>
      <c r="I18" s="24"/>
      <c r="J18" s="24"/>
      <c r="K18" s="25"/>
      <c r="L18" s="25"/>
    </row>
    <row r="19" spans="1:12" ht="14.7" customHeight="1" x14ac:dyDescent="0.3">
      <c r="A19" s="145" t="s">
        <v>26</v>
      </c>
      <c r="B19" s="146"/>
      <c r="C19" s="54"/>
      <c r="D19" s="54"/>
      <c r="E19" s="166"/>
      <c r="F19" s="166"/>
      <c r="G19" s="166"/>
      <c r="H19" s="167"/>
      <c r="I19" s="21" t="str">
        <f t="shared" ref="I19:I28" si="1">IF(COUNT(C19:D19)=1,"--&gt;Verifique! Item QTDE ou PESO em branco","-")</f>
        <v>-</v>
      </c>
      <c r="J19" s="24"/>
      <c r="K19" s="25"/>
      <c r="L19" s="25"/>
    </row>
    <row r="20" spans="1:12" ht="15" customHeight="1" x14ac:dyDescent="0.3">
      <c r="A20" s="145" t="s">
        <v>27</v>
      </c>
      <c r="B20" s="146"/>
      <c r="C20" s="54"/>
      <c r="D20" s="54"/>
      <c r="E20" s="166"/>
      <c r="F20" s="166"/>
      <c r="G20" s="166"/>
      <c r="H20" s="167"/>
      <c r="I20" s="21" t="str">
        <f t="shared" si="1"/>
        <v>-</v>
      </c>
      <c r="J20" s="24"/>
      <c r="K20" s="25"/>
      <c r="L20" s="25"/>
    </row>
    <row r="21" spans="1:12" ht="15.6" customHeight="1" x14ac:dyDescent="0.3">
      <c r="A21" s="145" t="s">
        <v>28</v>
      </c>
      <c r="B21" s="146"/>
      <c r="C21" s="55"/>
      <c r="D21" s="55"/>
      <c r="E21" s="164"/>
      <c r="F21" s="164"/>
      <c r="G21" s="164"/>
      <c r="H21" s="165"/>
      <c r="I21" s="21" t="str">
        <f t="shared" si="1"/>
        <v>-</v>
      </c>
    </row>
    <row r="22" spans="1:12" ht="13.8" customHeight="1" x14ac:dyDescent="0.3">
      <c r="A22" s="145" t="s">
        <v>29</v>
      </c>
      <c r="B22" s="146"/>
      <c r="C22" s="54"/>
      <c r="D22" s="54"/>
      <c r="E22" s="158"/>
      <c r="F22" s="147"/>
      <c r="G22" s="147"/>
      <c r="H22" s="148"/>
      <c r="I22" s="21" t="str">
        <f t="shared" si="1"/>
        <v>-</v>
      </c>
    </row>
    <row r="23" spans="1:12" ht="16.8" customHeight="1" x14ac:dyDescent="0.3">
      <c r="A23" s="145" t="s">
        <v>30</v>
      </c>
      <c r="B23" s="146"/>
      <c r="C23" s="54"/>
      <c r="D23" s="54"/>
      <c r="E23" s="166"/>
      <c r="F23" s="166"/>
      <c r="G23" s="166"/>
      <c r="H23" s="167"/>
      <c r="I23" s="21" t="str">
        <f t="shared" si="1"/>
        <v>-</v>
      </c>
    </row>
    <row r="24" spans="1:12" x14ac:dyDescent="0.3">
      <c r="A24" s="145" t="s">
        <v>31</v>
      </c>
      <c r="B24" s="146"/>
      <c r="C24" s="54"/>
      <c r="D24" s="54"/>
      <c r="E24" s="166"/>
      <c r="F24" s="166"/>
      <c r="G24" s="166"/>
      <c r="H24" s="167"/>
      <c r="I24" s="21" t="str">
        <f t="shared" si="1"/>
        <v>-</v>
      </c>
    </row>
    <row r="25" spans="1:12" ht="13.2" customHeight="1" x14ac:dyDescent="0.3">
      <c r="A25" s="145" t="s">
        <v>32</v>
      </c>
      <c r="B25" s="146"/>
      <c r="C25" s="54"/>
      <c r="D25" s="54"/>
      <c r="E25" s="164"/>
      <c r="F25" s="166"/>
      <c r="G25" s="166"/>
      <c r="H25" s="167"/>
      <c r="I25" s="21" t="str">
        <f t="shared" si="1"/>
        <v>-</v>
      </c>
    </row>
    <row r="26" spans="1:12" ht="15.6" customHeight="1" x14ac:dyDescent="0.3">
      <c r="A26" s="145" t="s">
        <v>33</v>
      </c>
      <c r="B26" s="146"/>
      <c r="C26" s="54"/>
      <c r="D26" s="54"/>
      <c r="E26" s="166"/>
      <c r="F26" s="166"/>
      <c r="G26" s="166"/>
      <c r="H26" s="167"/>
      <c r="I26" s="21" t="str">
        <f t="shared" si="1"/>
        <v>-</v>
      </c>
    </row>
    <row r="27" spans="1:12" x14ac:dyDescent="0.3">
      <c r="A27" s="145" t="s">
        <v>34</v>
      </c>
      <c r="B27" s="146"/>
      <c r="C27" s="54"/>
      <c r="D27" s="54"/>
      <c r="E27" s="162"/>
      <c r="F27" s="162"/>
      <c r="G27" s="162"/>
      <c r="H27" s="163"/>
      <c r="I27" s="21" t="str">
        <f t="shared" si="1"/>
        <v>-</v>
      </c>
    </row>
    <row r="28" spans="1:12" x14ac:dyDescent="0.3">
      <c r="A28" s="145" t="s">
        <v>35</v>
      </c>
      <c r="B28" s="146"/>
      <c r="C28" s="54"/>
      <c r="D28" s="54"/>
      <c r="E28" s="166"/>
      <c r="F28" s="166"/>
      <c r="G28" s="166"/>
      <c r="H28" s="167"/>
      <c r="I28" s="21" t="str">
        <f t="shared" si="1"/>
        <v>-</v>
      </c>
    </row>
    <row r="29" spans="1:12" ht="15" customHeight="1" x14ac:dyDescent="0.3">
      <c r="A29" s="151" t="s">
        <v>24</v>
      </c>
      <c r="B29" s="152"/>
      <c r="C29" s="46">
        <f>SUM(C19:C28)</f>
        <v>0</v>
      </c>
      <c r="D29" s="46"/>
      <c r="E29" s="153"/>
      <c r="F29" s="153"/>
      <c r="G29" s="153"/>
      <c r="H29" s="154"/>
    </row>
    <row r="30" spans="1:12" x14ac:dyDescent="0.3">
      <c r="A30" s="155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7"/>
    </row>
    <row r="31" spans="1:12" x14ac:dyDescent="0.3">
      <c r="A31" s="145" t="s">
        <v>37</v>
      </c>
      <c r="B31" s="146"/>
      <c r="C31" s="54"/>
      <c r="D31" s="54"/>
      <c r="E31" s="166"/>
      <c r="F31" s="166"/>
      <c r="G31" s="166"/>
      <c r="H31" s="167"/>
      <c r="I31" s="21" t="str">
        <f>IF(COUNT(C31:D31)=1,"--&gt;Verifique! Item QTDE ou PESO em branco","-")</f>
        <v>-</v>
      </c>
    </row>
    <row r="32" spans="1:12" x14ac:dyDescent="0.3">
      <c r="A32" s="145" t="s">
        <v>38</v>
      </c>
      <c r="B32" s="146"/>
      <c r="C32" s="54"/>
      <c r="D32" s="54"/>
      <c r="E32" s="166"/>
      <c r="F32" s="166"/>
      <c r="G32" s="166"/>
      <c r="H32" s="167"/>
      <c r="I32" s="21" t="str">
        <f>IF(COUNT(C32:D32)=1,"--&gt;Verifique! Item QTDE ou PESO em branco","-")</f>
        <v>-</v>
      </c>
    </row>
    <row r="33" spans="1:9" x14ac:dyDescent="0.3">
      <c r="A33" s="145" t="s">
        <v>39</v>
      </c>
      <c r="B33" s="146"/>
      <c r="C33" s="54"/>
      <c r="D33" s="54"/>
      <c r="E33" s="164"/>
      <c r="F33" s="166"/>
      <c r="G33" s="166"/>
      <c r="H33" s="167"/>
      <c r="I33" s="21" t="str">
        <f>IF(COUNT(C33:D33)=1,"--&gt;Verifique! Item QTDE ou PESO em branco","-")</f>
        <v>-</v>
      </c>
    </row>
    <row r="34" spans="1:9" ht="14.7" customHeight="1" x14ac:dyDescent="0.3">
      <c r="A34" s="145" t="s">
        <v>40</v>
      </c>
      <c r="B34" s="146"/>
      <c r="C34" s="54"/>
      <c r="D34" s="54"/>
      <c r="E34" s="166"/>
      <c r="F34" s="166"/>
      <c r="G34" s="166"/>
      <c r="H34" s="167"/>
      <c r="I34" s="21" t="str">
        <f>IF(COUNT(C34:D34)=1,"--&gt;Verifique! Item QTDE ou PESO em branco","-")</f>
        <v>-</v>
      </c>
    </row>
    <row r="35" spans="1:9" ht="15" customHeight="1" x14ac:dyDescent="0.3">
      <c r="A35" s="151" t="s">
        <v>24</v>
      </c>
      <c r="B35" s="152"/>
      <c r="C35" s="46">
        <f>SUM(C31:C34)</f>
        <v>0</v>
      </c>
      <c r="D35" s="46"/>
      <c r="E35" s="153"/>
      <c r="F35" s="153"/>
      <c r="G35" s="153"/>
      <c r="H35" s="154"/>
    </row>
    <row r="36" spans="1:9" ht="16.2" customHeight="1" x14ac:dyDescent="0.3">
      <c r="A36" s="155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7"/>
    </row>
    <row r="37" spans="1:9" ht="15.6" customHeight="1" x14ac:dyDescent="0.3">
      <c r="A37" s="145" t="s">
        <v>42</v>
      </c>
      <c r="B37" s="146"/>
      <c r="C37" s="54"/>
      <c r="D37" s="54"/>
      <c r="E37" s="164"/>
      <c r="F37" s="164"/>
      <c r="G37" s="164"/>
      <c r="H37" s="165"/>
      <c r="I37" s="21" t="str">
        <f>IF(COUNT(C37:D37)=1,"--&gt;Verifique! Item QTDE ou PESO em branco","-")</f>
        <v>-</v>
      </c>
    </row>
    <row r="38" spans="1:9" ht="14.7" customHeight="1" x14ac:dyDescent="0.3">
      <c r="A38" s="145" t="s">
        <v>43</v>
      </c>
      <c r="B38" s="146"/>
      <c r="C38" s="54"/>
      <c r="D38" s="54"/>
      <c r="E38" s="166"/>
      <c r="F38" s="166"/>
      <c r="G38" s="166"/>
      <c r="H38" s="167"/>
      <c r="I38" s="21" t="str">
        <f>IF(COUNT(C38:D38)=1,"--&gt;Verifique! Item QTDE ou PESO em branco","-")</f>
        <v>-</v>
      </c>
    </row>
    <row r="39" spans="1:9" x14ac:dyDescent="0.3">
      <c r="A39" s="145" t="s">
        <v>44</v>
      </c>
      <c r="B39" s="146"/>
      <c r="C39" s="54"/>
      <c r="D39" s="54"/>
      <c r="E39" s="158"/>
      <c r="F39" s="147"/>
      <c r="G39" s="147"/>
      <c r="H39" s="148"/>
      <c r="I39" s="21" t="str">
        <f>IF(COUNT(C39:D39)=1,"--&gt;Verifique! Item QTDE ou PESO em branco","-")</f>
        <v>-</v>
      </c>
    </row>
    <row r="40" spans="1:9" ht="15" customHeight="1" x14ac:dyDescent="0.3">
      <c r="A40" s="151" t="s">
        <v>24</v>
      </c>
      <c r="B40" s="152"/>
      <c r="C40" s="46">
        <f>SUM(C37:C39)</f>
        <v>0</v>
      </c>
      <c r="D40" s="46"/>
      <c r="E40" s="153"/>
      <c r="F40" s="153"/>
      <c r="G40" s="153"/>
      <c r="H40" s="154"/>
    </row>
    <row r="41" spans="1:9" ht="15" customHeight="1" x14ac:dyDescent="0.3">
      <c r="A41" s="155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7"/>
    </row>
    <row r="42" spans="1:9" ht="14.7" customHeight="1" x14ac:dyDescent="0.3">
      <c r="A42" s="145" t="s">
        <v>46</v>
      </c>
      <c r="B42" s="146"/>
      <c r="C42" s="54"/>
      <c r="D42" s="54"/>
      <c r="E42" s="160"/>
      <c r="F42" s="160"/>
      <c r="G42" s="160"/>
      <c r="H42" s="161"/>
      <c r="I42" s="21" t="str">
        <f>IF(COUNT(C42:D42)=1,"--&gt;Verifique! Item QTDE ou PESO em branco","-")</f>
        <v>-</v>
      </c>
    </row>
    <row r="43" spans="1:9" ht="14.7" customHeight="1" x14ac:dyDescent="0.3">
      <c r="A43" s="145" t="s">
        <v>47</v>
      </c>
      <c r="B43" s="146"/>
      <c r="C43" s="54"/>
      <c r="D43" s="54"/>
      <c r="E43" s="162"/>
      <c r="F43" s="162"/>
      <c r="G43" s="162"/>
      <c r="H43" s="163"/>
      <c r="I43" s="21" t="str">
        <f>IF(COUNT(C43:D43)=1,"--&gt;Verifique! Item QTDE ou PESO em branco","-")</f>
        <v>-</v>
      </c>
    </row>
    <row r="44" spans="1:9" x14ac:dyDescent="0.3">
      <c r="A44" s="145" t="s">
        <v>48</v>
      </c>
      <c r="B44" s="146"/>
      <c r="C44" s="55"/>
      <c r="D44" s="55"/>
      <c r="E44" s="158"/>
      <c r="F44" s="158"/>
      <c r="G44" s="158"/>
      <c r="H44" s="159"/>
      <c r="I44" s="21" t="str">
        <f>IF(COUNT(C44:D44)=1,"--&gt;Verifique! Item QTDE ou PESO em branco","-")</f>
        <v>-</v>
      </c>
    </row>
    <row r="45" spans="1:9" ht="15" customHeight="1" x14ac:dyDescent="0.3">
      <c r="A45" s="151" t="s">
        <v>24</v>
      </c>
      <c r="B45" s="152"/>
      <c r="C45" s="46">
        <f>SUM(C42:C44)</f>
        <v>0</v>
      </c>
      <c r="D45" s="46"/>
      <c r="E45" s="153"/>
      <c r="F45" s="153"/>
      <c r="G45" s="153"/>
      <c r="H45" s="154"/>
    </row>
    <row r="46" spans="1:9" ht="15" customHeight="1" x14ac:dyDescent="0.3">
      <c r="A46" s="155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7"/>
    </row>
    <row r="47" spans="1:9" ht="15" customHeight="1" x14ac:dyDescent="0.3">
      <c r="A47" s="145" t="s">
        <v>50</v>
      </c>
      <c r="B47" s="146"/>
      <c r="C47" s="56"/>
      <c r="D47" s="54"/>
      <c r="E47" s="158"/>
      <c r="F47" s="158"/>
      <c r="G47" s="158"/>
      <c r="H47" s="159"/>
      <c r="I47" s="21" t="str">
        <f>IF(COUNT(C47:D47)=1,"--&gt;Verifique! Item QTDE ou PESO em branco","-")</f>
        <v>-</v>
      </c>
    </row>
    <row r="48" spans="1:9" ht="14.7" customHeight="1" x14ac:dyDescent="0.3">
      <c r="A48" s="145" t="s">
        <v>51</v>
      </c>
      <c r="B48" s="146"/>
      <c r="C48" s="54"/>
      <c r="D48" s="54"/>
      <c r="E48" s="147"/>
      <c r="F48" s="147"/>
      <c r="G48" s="147"/>
      <c r="H48" s="148"/>
      <c r="I48" s="21" t="str">
        <f>IF(COUNT(C48:D48)=1,"--&gt;Verifique! Item QTDE ou PESO em branco","-")</f>
        <v>-</v>
      </c>
    </row>
    <row r="49" spans="1:9" ht="14.7" customHeight="1" x14ac:dyDescent="0.3">
      <c r="A49" s="145" t="s">
        <v>52</v>
      </c>
      <c r="B49" s="146"/>
      <c r="C49" s="54"/>
      <c r="D49" s="54"/>
      <c r="E49" s="149"/>
      <c r="F49" s="149"/>
      <c r="G49" s="149"/>
      <c r="H49" s="150"/>
      <c r="I49" s="21" t="str">
        <f>IF(COUNT(C49:D49)=1,"--&gt;Verifique! Item QTDE ou PESO em branco","-")</f>
        <v>-</v>
      </c>
    </row>
    <row r="50" spans="1:9" ht="15" customHeight="1" x14ac:dyDescent="0.3">
      <c r="A50" s="151" t="s">
        <v>24</v>
      </c>
      <c r="B50" s="152"/>
      <c r="C50" s="46">
        <f>SUM(C47:C49)</f>
        <v>0</v>
      </c>
      <c r="D50" s="46"/>
      <c r="E50" s="153"/>
      <c r="F50" s="153"/>
      <c r="G50" s="153"/>
      <c r="H50" s="154"/>
    </row>
    <row r="51" spans="1:9" ht="15" customHeight="1" x14ac:dyDescent="0.3">
      <c r="A51" s="100" t="s">
        <v>53</v>
      </c>
      <c r="B51" s="101"/>
      <c r="C51" s="101"/>
      <c r="D51" s="101"/>
      <c r="E51" s="101"/>
      <c r="F51" s="101"/>
      <c r="G51" s="101"/>
      <c r="H51" s="102"/>
    </row>
    <row r="52" spans="1:9" ht="14.7" customHeight="1" x14ac:dyDescent="0.3">
      <c r="A52" s="141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4"/>
    </row>
    <row r="53" spans="1:9" x14ac:dyDescent="0.3">
      <c r="A53" s="137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40"/>
    </row>
    <row r="54" spans="1:9" x14ac:dyDescent="0.3">
      <c r="A54" s="137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40"/>
    </row>
    <row r="55" spans="1:9" x14ac:dyDescent="0.3">
      <c r="A55" s="137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40"/>
    </row>
    <row r="56" spans="1:9" x14ac:dyDescent="0.3">
      <c r="A56" s="134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5"/>
    </row>
    <row r="57" spans="1:9" x14ac:dyDescent="0.3">
      <c r="A57" s="100" t="s">
        <v>58</v>
      </c>
      <c r="B57" s="101"/>
      <c r="C57" s="101"/>
      <c r="D57" s="101"/>
      <c r="E57" s="101"/>
      <c r="F57" s="101"/>
      <c r="G57" s="101"/>
      <c r="H57" s="102"/>
    </row>
    <row r="58" spans="1:9" x14ac:dyDescent="0.3">
      <c r="A58" s="121" t="s">
        <v>59</v>
      </c>
      <c r="B58" s="122"/>
      <c r="C58" s="122"/>
      <c r="D58" s="122"/>
      <c r="E58" s="122"/>
      <c r="F58" s="124">
        <f>C56</f>
        <v>0</v>
      </c>
      <c r="G58" s="124"/>
      <c r="H58" s="125"/>
    </row>
    <row r="59" spans="1:9" x14ac:dyDescent="0.3">
      <c r="A59" s="121" t="s">
        <v>60</v>
      </c>
      <c r="B59" s="122"/>
      <c r="C59" s="122"/>
      <c r="D59" s="122"/>
      <c r="E59" s="122"/>
      <c r="F59" s="123">
        <f>H5</f>
        <v>0</v>
      </c>
      <c r="G59" s="124"/>
      <c r="H59" s="125"/>
    </row>
    <row r="60" spans="1:9" x14ac:dyDescent="0.3">
      <c r="A60" s="126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2" t="s">
        <v>62</v>
      </c>
      <c r="B61" s="113"/>
      <c r="C61" s="113"/>
      <c r="D61" s="113"/>
      <c r="E61" s="113"/>
      <c r="F61" s="113"/>
      <c r="G61" s="113"/>
      <c r="H61" s="114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8" t="s">
        <v>64</v>
      </c>
      <c r="B63" s="129"/>
      <c r="C63" s="129"/>
      <c r="D63" s="129"/>
      <c r="E63" s="129"/>
      <c r="F63" s="129"/>
      <c r="G63" s="129"/>
      <c r="H63" s="130"/>
    </row>
    <row r="64" spans="1:9" x14ac:dyDescent="0.3">
      <c r="A64" s="103"/>
      <c r="B64" s="104"/>
      <c r="C64" s="104"/>
      <c r="D64" s="104"/>
      <c r="E64" s="104"/>
      <c r="F64" s="104"/>
      <c r="G64" s="104"/>
      <c r="H64" s="105"/>
    </row>
    <row r="65" spans="1:8" x14ac:dyDescent="0.3">
      <c r="A65" s="106"/>
      <c r="B65" s="107"/>
      <c r="C65" s="107"/>
      <c r="D65" s="107"/>
      <c r="E65" s="107"/>
      <c r="F65" s="107"/>
      <c r="G65" s="107"/>
      <c r="H65" s="108"/>
    </row>
    <row r="66" spans="1:8" x14ac:dyDescent="0.3">
      <c r="A66" s="106"/>
      <c r="B66" s="107"/>
      <c r="C66" s="107"/>
      <c r="D66" s="107"/>
      <c r="E66" s="107"/>
      <c r="F66" s="107"/>
      <c r="G66" s="107"/>
      <c r="H66" s="108"/>
    </row>
    <row r="67" spans="1:8" x14ac:dyDescent="0.3">
      <c r="A67" s="106"/>
      <c r="B67" s="107"/>
      <c r="C67" s="107"/>
      <c r="D67" s="107"/>
      <c r="E67" s="107"/>
      <c r="F67" s="107"/>
      <c r="G67" s="107"/>
      <c r="H67" s="108"/>
    </row>
    <row r="68" spans="1:8" x14ac:dyDescent="0.3">
      <c r="A68" s="131"/>
      <c r="B68" s="132"/>
      <c r="C68" s="132"/>
      <c r="D68" s="132"/>
      <c r="E68" s="132"/>
      <c r="F68" s="132"/>
      <c r="G68" s="132"/>
      <c r="H68" s="133"/>
    </row>
    <row r="69" spans="1:8" x14ac:dyDescent="0.3">
      <c r="A69" s="100" t="s">
        <v>65</v>
      </c>
      <c r="B69" s="101"/>
      <c r="C69" s="101"/>
      <c r="D69" s="101"/>
      <c r="E69" s="101"/>
      <c r="F69" s="101"/>
      <c r="G69" s="101"/>
      <c r="H69" s="102"/>
    </row>
    <row r="70" spans="1:8" x14ac:dyDescent="0.3">
      <c r="A70" s="103"/>
      <c r="B70" s="104"/>
      <c r="C70" s="104"/>
      <c r="D70" s="104"/>
      <c r="E70" s="104"/>
      <c r="F70" s="104"/>
      <c r="G70" s="104"/>
      <c r="H70" s="105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/>
      <c r="C76"/>
      <c r="D76"/>
      <c r="E76"/>
      <c r="F76"/>
      <c r="G76"/>
      <c r="H76"/>
    </row>
    <row r="77" spans="1:8" x14ac:dyDescent="0.3">
      <c r="A77">
        <v>0.3</v>
      </c>
      <c r="B77"/>
      <c r="C77"/>
      <c r="D77"/>
      <c r="E77"/>
      <c r="F77"/>
      <c r="G77"/>
      <c r="H77"/>
    </row>
    <row r="78" spans="1:8" x14ac:dyDescent="0.3">
      <c r="A78">
        <v>1</v>
      </c>
      <c r="B78"/>
      <c r="C78"/>
      <c r="D78"/>
      <c r="E78"/>
      <c r="F78"/>
      <c r="G78"/>
      <c r="H78"/>
    </row>
    <row r="79" spans="1:8" x14ac:dyDescent="0.3">
      <c r="A79">
        <v>3</v>
      </c>
      <c r="B79"/>
      <c r="C79"/>
      <c r="D79"/>
      <c r="E79"/>
      <c r="F79"/>
      <c r="G79"/>
      <c r="H79"/>
    </row>
  </sheetData>
  <protectedRanges>
    <protectedRange sqref="C8:D17 C31:D34 D37:D39 D42:D44 D47:D49 C19:D2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9:H69"/>
    <mergeCell ref="A70:H75"/>
    <mergeCell ref="A61:H61"/>
    <mergeCell ref="F62:H62"/>
    <mergeCell ref="A62:E62"/>
    <mergeCell ref="A59:E59"/>
    <mergeCell ref="F59:H59"/>
    <mergeCell ref="A60:E60"/>
    <mergeCell ref="F60:H60"/>
    <mergeCell ref="A63:H63"/>
    <mergeCell ref="A64:H68"/>
  </mergeCells>
  <conditionalFormatting sqref="I8:I16">
    <cfRule type="containsText" dxfId="180" priority="18" operator="containsText" text="Verifique">
      <formula>NOT(ISERROR(SEARCH("Verifique",I8)))</formula>
    </cfRule>
  </conditionalFormatting>
  <conditionalFormatting sqref="I19:I28">
    <cfRule type="containsText" dxfId="179" priority="11" operator="containsText" text="Verifique">
      <formula>NOT(ISERROR(SEARCH("Verifique",I19)))</formula>
    </cfRule>
  </conditionalFormatting>
  <conditionalFormatting sqref="I31:I34">
    <cfRule type="containsText" dxfId="178" priority="10" operator="containsText" text="Verifique">
      <formula>NOT(ISERROR(SEARCH("Verifique",I31)))</formula>
    </cfRule>
  </conditionalFormatting>
  <conditionalFormatting sqref="I37:I39">
    <cfRule type="containsText" dxfId="177" priority="9" operator="containsText" text="Verifique">
      <formula>NOT(ISERROR(SEARCH("Verifique",I37)))</formula>
    </cfRule>
  </conditionalFormatting>
  <conditionalFormatting sqref="I42:I44">
    <cfRule type="containsText" dxfId="176" priority="8" operator="containsText" text="Verifique">
      <formula>NOT(ISERROR(SEARCH("Verifique",I42)))</formula>
    </cfRule>
  </conditionalFormatting>
  <conditionalFormatting sqref="I47:I49">
    <cfRule type="containsText" dxfId="175" priority="7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00000000-0002-0000-0000-000000000000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ignoredErrors>
    <ignoredError sqref="I1:I49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FFC000"/>
  </sheetPr>
  <dimension ref="A1:L79"/>
  <sheetViews>
    <sheetView showGridLines="0" showRuler="0" view="pageLayout" zoomScaleNormal="110" zoomScaleSheetLayoutView="100" workbookViewId="0">
      <selection activeCell="E15" sqref="E15:H15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8.77734375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2"/>
      <c r="F39" s="162"/>
      <c r="G39" s="162"/>
      <c r="H39" s="162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29.25" customHeight="1" x14ac:dyDescent="0.3">
      <c r="A42" s="189" t="s">
        <v>46</v>
      </c>
      <c r="B42" s="189"/>
      <c r="C42" s="55"/>
      <c r="D42" s="55"/>
      <c r="E42" s="160"/>
      <c r="F42" s="160"/>
      <c r="G42" s="160"/>
      <c r="H42" s="160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2"/>
      <c r="F47" s="162"/>
      <c r="G47" s="162"/>
      <c r="H47" s="162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74" priority="12" operator="containsText" text="Verifique">
      <formula>NOT(ISERROR(SEARCH("Verifique",I8)))</formula>
    </cfRule>
  </conditionalFormatting>
  <conditionalFormatting sqref="I19:I28">
    <cfRule type="containsText" dxfId="173" priority="5" operator="containsText" text="Verifique">
      <formula>NOT(ISERROR(SEARCH("Verifique",I19)))</formula>
    </cfRule>
  </conditionalFormatting>
  <conditionalFormatting sqref="I31:I34">
    <cfRule type="containsText" dxfId="172" priority="4" operator="containsText" text="Verifique">
      <formula>NOT(ISERROR(SEARCH("Verifique",I31)))</formula>
    </cfRule>
  </conditionalFormatting>
  <conditionalFormatting sqref="I37:I39">
    <cfRule type="containsText" dxfId="171" priority="3" operator="containsText" text="Verifique">
      <formula>NOT(ISERROR(SEARCH("Verifique",I37)))</formula>
    </cfRule>
  </conditionalFormatting>
  <conditionalFormatting sqref="I42:I44">
    <cfRule type="containsText" dxfId="170" priority="2" operator="containsText" text="Verifique">
      <formula>NOT(ISERROR(SEARCH("Verifique",I42)))</formula>
    </cfRule>
  </conditionalFormatting>
  <conditionalFormatting sqref="I47:I49">
    <cfRule type="containsText" dxfId="169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00000000-0002-0000-0100-000000000000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FFC000"/>
  </sheetPr>
  <dimension ref="A1:L79"/>
  <sheetViews>
    <sheetView showGridLines="0" zoomScaleNormal="100" zoomScaleSheetLayoutView="100" workbookViewId="0">
      <selection activeCell="F55" sqref="F55:H55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8.77734375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30.75" customHeight="1" x14ac:dyDescent="0.3">
      <c r="A39" s="189" t="s">
        <v>44</v>
      </c>
      <c r="B39" s="189"/>
      <c r="C39" s="54"/>
      <c r="D39" s="54"/>
      <c r="E39" s="160"/>
      <c r="F39" s="160"/>
      <c r="G39" s="160"/>
      <c r="H39" s="160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2"/>
      <c r="F44" s="162"/>
      <c r="G44" s="162"/>
      <c r="H44" s="162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2"/>
      <c r="F47" s="162"/>
      <c r="G47" s="162"/>
      <c r="H47" s="162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68" priority="12" operator="containsText" text="Verifique">
      <formula>NOT(ISERROR(SEARCH("Verifique",I8)))</formula>
    </cfRule>
  </conditionalFormatting>
  <conditionalFormatting sqref="I19:I28">
    <cfRule type="containsText" dxfId="167" priority="5" operator="containsText" text="Verifique">
      <formula>NOT(ISERROR(SEARCH("Verifique",I19)))</formula>
    </cfRule>
  </conditionalFormatting>
  <conditionalFormatting sqref="I31:I34">
    <cfRule type="containsText" dxfId="166" priority="4" operator="containsText" text="Verifique">
      <formula>NOT(ISERROR(SEARCH("Verifique",I31)))</formula>
    </cfRule>
  </conditionalFormatting>
  <conditionalFormatting sqref="I37:I39">
    <cfRule type="containsText" dxfId="165" priority="3" operator="containsText" text="Verifique">
      <formula>NOT(ISERROR(SEARCH("Verifique",I37)))</formula>
    </cfRule>
  </conditionalFormatting>
  <conditionalFormatting sqref="I42:I44">
    <cfRule type="containsText" dxfId="164" priority="2" operator="containsText" text="Verifique">
      <formula>NOT(ISERROR(SEARCH("Verifique",I42)))</formula>
    </cfRule>
  </conditionalFormatting>
  <conditionalFormatting sqref="I47:I49">
    <cfRule type="containsText" dxfId="163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80C760C1-D51C-4866-A42E-89326C5DDCA1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FFC000"/>
  </sheetPr>
  <dimension ref="A1:L79"/>
  <sheetViews>
    <sheetView showGridLines="0" view="pageBreakPreview" zoomScaleNormal="110" zoomScaleSheetLayoutView="100" workbookViewId="0">
      <selection activeCell="E18" sqref="E18:H18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8.77734375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27.75" customHeight="1" x14ac:dyDescent="0.3">
      <c r="A43" s="146" t="s">
        <v>47</v>
      </c>
      <c r="B43" s="146"/>
      <c r="C43" s="54"/>
      <c r="D43" s="54"/>
      <c r="E43" s="191"/>
      <c r="F43" s="191"/>
      <c r="G43" s="191"/>
      <c r="H43" s="191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2"/>
      <c r="F44" s="162"/>
      <c r="G44" s="162"/>
      <c r="H44" s="162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3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62" priority="14" operator="containsText" text="Verifique">
      <formula>NOT(ISERROR(SEARCH("Verifique",I8)))</formula>
    </cfRule>
  </conditionalFormatting>
  <conditionalFormatting sqref="I19:I28">
    <cfRule type="containsText" dxfId="161" priority="7" operator="containsText" text="Verifique">
      <formula>NOT(ISERROR(SEARCH("Verifique",I19)))</formula>
    </cfRule>
  </conditionalFormatting>
  <conditionalFormatting sqref="I31:I34">
    <cfRule type="containsText" dxfId="160" priority="6" operator="containsText" text="Verifique">
      <formula>NOT(ISERROR(SEARCH("Verifique",I31)))</formula>
    </cfRule>
  </conditionalFormatting>
  <conditionalFormatting sqref="I37:I39">
    <cfRule type="containsText" dxfId="159" priority="5" operator="containsText" text="Verifique">
      <formula>NOT(ISERROR(SEARCH("Verifique",I37)))</formula>
    </cfRule>
  </conditionalFormatting>
  <conditionalFormatting sqref="I42:I44">
    <cfRule type="containsText" dxfId="158" priority="4" operator="containsText" text="Verifique">
      <formula>NOT(ISERROR(SEARCH("Verifique",I42)))</formula>
    </cfRule>
  </conditionalFormatting>
  <conditionalFormatting sqref="I47:I49">
    <cfRule type="containsText" dxfId="157" priority="3" operator="containsText" text="Verifique">
      <formula>NOT(ISERROR(SEARCH("Verifique",I47)))</formula>
    </cfRule>
  </conditionalFormatting>
  <dataValidations disablePrompts="1" count="1">
    <dataValidation type="list" allowBlank="1" showInputMessage="1" showErrorMessage="1" sqref="D8:D16 D47:D49 D42:D44 D37:D39 D31:D34 D19:D28" xr:uid="{A023BC6C-14A8-4B98-B194-ED523DA03836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FFC000"/>
  </sheetPr>
  <dimension ref="A1:L79"/>
  <sheetViews>
    <sheetView showGridLines="0" view="pageBreakPreview" topLeftCell="A22" zoomScaleNormal="110" zoomScaleSheetLayoutView="100" workbookViewId="0">
      <selection activeCell="E23" sqref="E23:H23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8.77734375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33.75" customHeight="1" x14ac:dyDescent="0.3">
      <c r="A43" s="146" t="s">
        <v>47</v>
      </c>
      <c r="B43" s="146"/>
      <c r="C43" s="54"/>
      <c r="D43" s="54"/>
      <c r="E43" s="191"/>
      <c r="F43" s="191"/>
      <c r="G43" s="191"/>
      <c r="H43" s="191"/>
      <c r="I43" s="5" t="str">
        <f>IF(COUNT(C43:D43)=1,"--&gt;Verifique! Item QTDE ou PESO em branco","-")</f>
        <v>-</v>
      </c>
    </row>
    <row r="44" spans="1:9" ht="29.25" customHeight="1" x14ac:dyDescent="0.3">
      <c r="A44" s="189" t="s">
        <v>48</v>
      </c>
      <c r="B44" s="189"/>
      <c r="C44" s="54"/>
      <c r="D44" s="54"/>
      <c r="E44" s="191"/>
      <c r="F44" s="191"/>
      <c r="G44" s="191"/>
      <c r="H44" s="191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56" priority="13" operator="containsText" text="Verifique">
      <formula>NOT(ISERROR(SEARCH("Verifique",I8)))</formula>
    </cfRule>
  </conditionalFormatting>
  <conditionalFormatting sqref="I19:I28">
    <cfRule type="containsText" dxfId="155" priority="6" operator="containsText" text="Verifique">
      <formula>NOT(ISERROR(SEARCH("Verifique",I19)))</formula>
    </cfRule>
  </conditionalFormatting>
  <conditionalFormatting sqref="I31:I34">
    <cfRule type="containsText" dxfId="154" priority="5" operator="containsText" text="Verifique">
      <formula>NOT(ISERROR(SEARCH("Verifique",I31)))</formula>
    </cfRule>
  </conditionalFormatting>
  <conditionalFormatting sqref="I37:I39">
    <cfRule type="containsText" dxfId="153" priority="4" operator="containsText" text="Verifique">
      <formula>NOT(ISERROR(SEARCH("Verifique",I37)))</formula>
    </cfRule>
  </conditionalFormatting>
  <conditionalFormatting sqref="I42:I44">
    <cfRule type="containsText" dxfId="152" priority="3" operator="containsText" text="Verifique">
      <formula>NOT(ISERROR(SEARCH("Verifique",I42)))</formula>
    </cfRule>
  </conditionalFormatting>
  <conditionalFormatting sqref="I47:I49">
    <cfRule type="containsText" dxfId="151" priority="2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010C3BBF-E469-4B53-9AA4-44A33A6828B3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rgb="FFFFC000"/>
  </sheetPr>
  <dimension ref="A1:L79"/>
  <sheetViews>
    <sheetView showGridLines="0" view="pageBreakPreview" zoomScaleNormal="110" zoomScaleSheetLayoutView="100" workbookViewId="0">
      <selection activeCell="E14" sqref="E14:H14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8.77734375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50" priority="12" operator="containsText" text="Verifique">
      <formula>NOT(ISERROR(SEARCH("Verifique",I8)))</formula>
    </cfRule>
  </conditionalFormatting>
  <conditionalFormatting sqref="I19:I28">
    <cfRule type="containsText" dxfId="149" priority="5" operator="containsText" text="Verifique">
      <formula>NOT(ISERROR(SEARCH("Verifique",I19)))</formula>
    </cfRule>
  </conditionalFormatting>
  <conditionalFormatting sqref="I31:I34">
    <cfRule type="containsText" dxfId="148" priority="4" operator="containsText" text="Verifique">
      <formula>NOT(ISERROR(SEARCH("Verifique",I31)))</formula>
    </cfRule>
  </conditionalFormatting>
  <conditionalFormatting sqref="I37:I39">
    <cfRule type="containsText" dxfId="147" priority="3" operator="containsText" text="Verifique">
      <formula>NOT(ISERROR(SEARCH("Verifique",I37)))</formula>
    </cfRule>
  </conditionalFormatting>
  <conditionalFormatting sqref="I42:I44">
    <cfRule type="containsText" dxfId="146" priority="2" operator="containsText" text="Verifique">
      <formula>NOT(ISERROR(SEARCH("Verifique",I42)))</formula>
    </cfRule>
  </conditionalFormatting>
  <conditionalFormatting sqref="I47:I49">
    <cfRule type="containsText" dxfId="145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097909EA-5DE8-454A-8E56-8805EF323F14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theme="9" tint="-0.249977111117893"/>
  </sheetPr>
  <dimension ref="A1:L79"/>
  <sheetViews>
    <sheetView showGridLines="0" zoomScaleNormal="100" zoomScaleSheetLayoutView="100" workbookViewId="0">
      <selection activeCell="E16" sqref="E16:H16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73" t="s">
        <v>0</v>
      </c>
      <c r="B1" s="174"/>
      <c r="C1" s="174"/>
      <c r="D1" s="174"/>
      <c r="E1" s="174"/>
      <c r="F1" s="174"/>
      <c r="G1" s="174"/>
      <c r="H1" s="175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0" t="s">
        <v>10</v>
      </c>
      <c r="B6" s="101"/>
      <c r="C6" s="101"/>
      <c r="D6" s="101"/>
      <c r="E6" s="101"/>
      <c r="F6" s="101"/>
      <c r="G6" s="101"/>
      <c r="H6" s="102"/>
    </row>
    <row r="7" spans="1:9" ht="15" customHeight="1" x14ac:dyDescent="0.3">
      <c r="A7" s="155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7"/>
    </row>
    <row r="8" spans="1:9" ht="14.7" customHeight="1" x14ac:dyDescent="0.3">
      <c r="A8" s="145" t="s">
        <v>15</v>
      </c>
      <c r="B8" s="146"/>
      <c r="C8" s="54"/>
      <c r="D8" s="54"/>
      <c r="E8" s="162"/>
      <c r="F8" s="162"/>
      <c r="G8" s="162"/>
      <c r="H8" s="163"/>
      <c r="I8" s="5" t="str">
        <f>IF(COUNT(C8:D8)=1,"--&gt;Verifique! Item QTDE ou PESO em branco","-")</f>
        <v>-</v>
      </c>
    </row>
    <row r="9" spans="1:9" ht="14.7" customHeight="1" x14ac:dyDescent="0.3">
      <c r="A9" s="145" t="s">
        <v>16</v>
      </c>
      <c r="B9" s="146"/>
      <c r="C9" s="54"/>
      <c r="D9" s="54"/>
      <c r="E9" s="166"/>
      <c r="F9" s="166"/>
      <c r="G9" s="166"/>
      <c r="H9" s="167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5" t="s">
        <v>17</v>
      </c>
      <c r="B10" s="146"/>
      <c r="C10" s="54"/>
      <c r="D10" s="54"/>
      <c r="E10" s="166"/>
      <c r="F10" s="166"/>
      <c r="G10" s="166"/>
      <c r="H10" s="167"/>
      <c r="I10" s="5" t="str">
        <f t="shared" si="0"/>
        <v>-</v>
      </c>
    </row>
    <row r="11" spans="1:9" ht="15" customHeight="1" x14ac:dyDescent="0.3">
      <c r="A11" s="145" t="s">
        <v>18</v>
      </c>
      <c r="B11" s="146"/>
      <c r="C11" s="54"/>
      <c r="D11" s="54"/>
      <c r="E11" s="166"/>
      <c r="F11" s="166"/>
      <c r="G11" s="166"/>
      <c r="H11" s="167"/>
      <c r="I11" s="5" t="str">
        <f t="shared" si="0"/>
        <v>-</v>
      </c>
    </row>
    <row r="12" spans="1:9" ht="15" customHeight="1" x14ac:dyDescent="0.3">
      <c r="A12" s="145" t="s">
        <v>19</v>
      </c>
      <c r="B12" s="146"/>
      <c r="C12" s="54"/>
      <c r="D12" s="54"/>
      <c r="E12" s="166"/>
      <c r="F12" s="166"/>
      <c r="G12" s="166"/>
      <c r="H12" s="167"/>
      <c r="I12" s="5" t="str">
        <f t="shared" si="0"/>
        <v>-</v>
      </c>
    </row>
    <row r="13" spans="1:9" ht="15" customHeight="1" x14ac:dyDescent="0.3">
      <c r="A13" s="145" t="s">
        <v>20</v>
      </c>
      <c r="B13" s="146"/>
      <c r="C13" s="54"/>
      <c r="D13" s="54"/>
      <c r="E13" s="166"/>
      <c r="F13" s="166"/>
      <c r="G13" s="166"/>
      <c r="H13" s="167"/>
      <c r="I13" s="5" t="str">
        <f t="shared" si="0"/>
        <v>-</v>
      </c>
    </row>
    <row r="14" spans="1:9" ht="15" customHeight="1" x14ac:dyDescent="0.3">
      <c r="A14" s="145" t="s">
        <v>21</v>
      </c>
      <c r="B14" s="146"/>
      <c r="C14" s="54"/>
      <c r="D14" s="54"/>
      <c r="E14" s="166"/>
      <c r="F14" s="166"/>
      <c r="G14" s="166"/>
      <c r="H14" s="167"/>
      <c r="I14" s="5" t="str">
        <f t="shared" si="0"/>
        <v>-</v>
      </c>
    </row>
    <row r="15" spans="1:9" ht="15" customHeight="1" x14ac:dyDescent="0.3">
      <c r="A15" s="145" t="s">
        <v>22</v>
      </c>
      <c r="B15" s="146"/>
      <c r="C15" s="54"/>
      <c r="D15" s="54"/>
      <c r="E15" s="166"/>
      <c r="F15" s="166"/>
      <c r="G15" s="166"/>
      <c r="H15" s="167"/>
      <c r="I15" s="5" t="str">
        <f t="shared" si="0"/>
        <v>-</v>
      </c>
    </row>
    <row r="16" spans="1:9" ht="15" customHeight="1" x14ac:dyDescent="0.3">
      <c r="A16" s="145" t="s">
        <v>23</v>
      </c>
      <c r="B16" s="146"/>
      <c r="C16" s="54"/>
      <c r="D16" s="54"/>
      <c r="E16" s="166"/>
      <c r="F16" s="166"/>
      <c r="G16" s="166"/>
      <c r="H16" s="167"/>
      <c r="I16" s="5" t="str">
        <f t="shared" si="0"/>
        <v>-</v>
      </c>
    </row>
    <row r="17" spans="1:12" ht="15" customHeight="1" x14ac:dyDescent="0.3">
      <c r="A17" s="151" t="s">
        <v>24</v>
      </c>
      <c r="B17" s="152"/>
      <c r="C17" s="45">
        <f>SUM(C8:C16)</f>
        <v>0</v>
      </c>
      <c r="D17" s="45"/>
      <c r="E17" s="153"/>
      <c r="F17" s="153"/>
      <c r="G17" s="153"/>
      <c r="H17" s="154"/>
      <c r="I17" s="3"/>
      <c r="J17" s="3"/>
      <c r="K17" s="1"/>
      <c r="L17" s="1"/>
    </row>
    <row r="18" spans="1:12" ht="15" customHeight="1" x14ac:dyDescent="0.3">
      <c r="A18" s="155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7"/>
      <c r="I18" s="4"/>
      <c r="J18" s="4"/>
      <c r="K18" s="2"/>
      <c r="L18" s="2"/>
    </row>
    <row r="19" spans="1:12" ht="14.7" customHeight="1" x14ac:dyDescent="0.3">
      <c r="A19" s="145" t="s">
        <v>26</v>
      </c>
      <c r="B19" s="146"/>
      <c r="C19" s="54"/>
      <c r="D19" s="54"/>
      <c r="E19" s="166"/>
      <c r="F19" s="166"/>
      <c r="G19" s="166"/>
      <c r="H19" s="167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5" t="s">
        <v>27</v>
      </c>
      <c r="B20" s="146"/>
      <c r="C20" s="54"/>
      <c r="D20" s="54"/>
      <c r="E20" s="166"/>
      <c r="F20" s="166"/>
      <c r="G20" s="166"/>
      <c r="H20" s="167"/>
      <c r="I20" s="5" t="str">
        <f t="shared" si="1"/>
        <v>-</v>
      </c>
      <c r="J20" s="4"/>
      <c r="K20" s="2"/>
      <c r="L20" s="2"/>
    </row>
    <row r="21" spans="1:12" x14ac:dyDescent="0.3">
      <c r="A21" s="145" t="s">
        <v>28</v>
      </c>
      <c r="B21" s="146"/>
      <c r="C21" s="54"/>
      <c r="D21" s="54"/>
      <c r="E21" s="166"/>
      <c r="F21" s="166"/>
      <c r="G21" s="166"/>
      <c r="H21" s="167"/>
      <c r="I21" s="5" t="str">
        <f t="shared" si="1"/>
        <v>-</v>
      </c>
    </row>
    <row r="22" spans="1:12" ht="15" customHeight="1" x14ac:dyDescent="0.3">
      <c r="A22" s="145" t="s">
        <v>29</v>
      </c>
      <c r="B22" s="146"/>
      <c r="C22" s="54"/>
      <c r="D22" s="54"/>
      <c r="E22" s="166"/>
      <c r="F22" s="166"/>
      <c r="G22" s="166"/>
      <c r="H22" s="167"/>
      <c r="I22" s="5" t="str">
        <f t="shared" si="1"/>
        <v>-</v>
      </c>
    </row>
    <row r="23" spans="1:12" x14ac:dyDescent="0.3">
      <c r="A23" s="145" t="s">
        <v>30</v>
      </c>
      <c r="B23" s="146"/>
      <c r="C23" s="54"/>
      <c r="D23" s="54"/>
      <c r="E23" s="166"/>
      <c r="F23" s="166"/>
      <c r="G23" s="166"/>
      <c r="H23" s="167"/>
      <c r="I23" s="5" t="str">
        <f t="shared" si="1"/>
        <v>-</v>
      </c>
    </row>
    <row r="24" spans="1:12" x14ac:dyDescent="0.3">
      <c r="A24" s="145" t="s">
        <v>31</v>
      </c>
      <c r="B24" s="146"/>
      <c r="C24" s="54"/>
      <c r="D24" s="54"/>
      <c r="E24" s="166"/>
      <c r="F24" s="166"/>
      <c r="G24" s="166"/>
      <c r="H24" s="167"/>
      <c r="I24" s="5" t="str">
        <f t="shared" si="1"/>
        <v>-</v>
      </c>
    </row>
    <row r="25" spans="1:12" x14ac:dyDescent="0.3">
      <c r="A25" s="145" t="s">
        <v>32</v>
      </c>
      <c r="B25" s="146"/>
      <c r="C25" s="54"/>
      <c r="D25" s="54"/>
      <c r="E25" s="166"/>
      <c r="F25" s="166"/>
      <c r="G25" s="166"/>
      <c r="H25" s="167"/>
      <c r="I25" s="5" t="str">
        <f t="shared" si="1"/>
        <v>-</v>
      </c>
    </row>
    <row r="26" spans="1:12" x14ac:dyDescent="0.3">
      <c r="A26" s="145" t="s">
        <v>33</v>
      </c>
      <c r="B26" s="146"/>
      <c r="C26" s="54"/>
      <c r="D26" s="54"/>
      <c r="E26" s="166"/>
      <c r="F26" s="166"/>
      <c r="G26" s="166"/>
      <c r="H26" s="167"/>
      <c r="I26" s="5" t="str">
        <f t="shared" si="1"/>
        <v>-</v>
      </c>
    </row>
    <row r="27" spans="1:12" x14ac:dyDescent="0.3">
      <c r="A27" s="145" t="s">
        <v>34</v>
      </c>
      <c r="B27" s="146"/>
      <c r="C27" s="54"/>
      <c r="D27" s="54"/>
      <c r="E27" s="166"/>
      <c r="F27" s="166"/>
      <c r="G27" s="166"/>
      <c r="H27" s="167"/>
      <c r="I27" s="5" t="str">
        <f t="shared" si="1"/>
        <v>-</v>
      </c>
    </row>
    <row r="28" spans="1:12" x14ac:dyDescent="0.3">
      <c r="A28" s="145" t="s">
        <v>35</v>
      </c>
      <c r="B28" s="146"/>
      <c r="C28" s="54"/>
      <c r="D28" s="54"/>
      <c r="E28" s="166"/>
      <c r="F28" s="166"/>
      <c r="G28" s="166"/>
      <c r="H28" s="167"/>
      <c r="I28" s="5" t="str">
        <f t="shared" si="1"/>
        <v>-</v>
      </c>
    </row>
    <row r="29" spans="1:12" ht="15" customHeight="1" x14ac:dyDescent="0.3">
      <c r="A29" s="151" t="s">
        <v>24</v>
      </c>
      <c r="B29" s="152"/>
      <c r="C29" s="46">
        <f>SUM(C19:C28)</f>
        <v>0</v>
      </c>
      <c r="D29" s="46"/>
      <c r="E29" s="153"/>
      <c r="F29" s="153"/>
      <c r="G29" s="153"/>
      <c r="H29" s="154"/>
    </row>
    <row r="30" spans="1:12" x14ac:dyDescent="0.3">
      <c r="A30" s="155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7"/>
    </row>
    <row r="31" spans="1:12" x14ac:dyDescent="0.3">
      <c r="A31" s="145" t="s">
        <v>37</v>
      </c>
      <c r="B31" s="146"/>
      <c r="C31" s="54"/>
      <c r="D31" s="54"/>
      <c r="E31" s="166"/>
      <c r="F31" s="166"/>
      <c r="G31" s="166"/>
      <c r="H31" s="167"/>
      <c r="I31" s="5" t="str">
        <f>IF(COUNT(C31:D31)=1,"--&gt;Verifique! Item QTDE ou PESO em branco","-")</f>
        <v>-</v>
      </c>
    </row>
    <row r="32" spans="1:12" x14ac:dyDescent="0.3">
      <c r="A32" s="145" t="s">
        <v>38</v>
      </c>
      <c r="B32" s="146"/>
      <c r="C32" s="54"/>
      <c r="D32" s="54"/>
      <c r="E32" s="166"/>
      <c r="F32" s="166"/>
      <c r="G32" s="166"/>
      <c r="H32" s="167"/>
      <c r="I32" s="5" t="str">
        <f>IF(COUNT(C32:D32)=1,"--&gt;Verifique! Item QTDE ou PESO em branco","-")</f>
        <v>-</v>
      </c>
    </row>
    <row r="33" spans="1:9" ht="14.7" customHeight="1" x14ac:dyDescent="0.3">
      <c r="A33" s="145" t="s">
        <v>39</v>
      </c>
      <c r="B33" s="146"/>
      <c r="C33" s="54"/>
      <c r="D33" s="54"/>
      <c r="E33" s="166"/>
      <c r="F33" s="166"/>
      <c r="G33" s="166"/>
      <c r="H33" s="167"/>
      <c r="I33" s="5" t="str">
        <f>IF(COUNT(C33:D33)=1,"--&gt;Verifique! Item QTDE ou PESO em branco","-")</f>
        <v>-</v>
      </c>
    </row>
    <row r="34" spans="1:9" ht="14.7" customHeight="1" x14ac:dyDescent="0.3">
      <c r="A34" s="145" t="s">
        <v>40</v>
      </c>
      <c r="B34" s="146"/>
      <c r="C34" s="54"/>
      <c r="D34" s="54"/>
      <c r="E34" s="166"/>
      <c r="F34" s="166"/>
      <c r="G34" s="166"/>
      <c r="H34" s="167"/>
      <c r="I34" s="5" t="str">
        <f>IF(COUNT(C34:D34)=1,"--&gt;Verifique! Item QTDE ou PESO em branco","-")</f>
        <v>-</v>
      </c>
    </row>
    <row r="35" spans="1:9" ht="15" customHeight="1" x14ac:dyDescent="0.3">
      <c r="A35" s="151" t="s">
        <v>24</v>
      </c>
      <c r="B35" s="152"/>
      <c r="C35" s="46">
        <f>SUM(C31:C34)</f>
        <v>0</v>
      </c>
      <c r="D35" s="46"/>
      <c r="E35" s="153"/>
      <c r="F35" s="153"/>
      <c r="G35" s="153"/>
      <c r="H35" s="154"/>
    </row>
    <row r="36" spans="1:9" ht="16.2" customHeight="1" x14ac:dyDescent="0.3">
      <c r="A36" s="155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7"/>
    </row>
    <row r="37" spans="1:9" ht="14.7" customHeight="1" x14ac:dyDescent="0.3">
      <c r="A37" s="145" t="s">
        <v>42</v>
      </c>
      <c r="B37" s="146"/>
      <c r="C37" s="54"/>
      <c r="D37" s="54"/>
      <c r="E37" s="166"/>
      <c r="F37" s="166"/>
      <c r="G37" s="166"/>
      <c r="H37" s="167"/>
      <c r="I37" s="5" t="str">
        <f>IF(COUNT(C37:D37)=1,"--&gt;Verifique! Item QTDE ou PESO em branco","-")</f>
        <v>-</v>
      </c>
    </row>
    <row r="38" spans="1:9" ht="14.7" customHeight="1" x14ac:dyDescent="0.3">
      <c r="A38" s="145" t="s">
        <v>43</v>
      </c>
      <c r="B38" s="146"/>
      <c r="C38" s="54"/>
      <c r="D38" s="54"/>
      <c r="E38" s="166"/>
      <c r="F38" s="166"/>
      <c r="G38" s="166"/>
      <c r="H38" s="167"/>
      <c r="I38" s="5" t="str">
        <f>IF(COUNT(C38:D38)=1,"--&gt;Verifique! Item QTDE ou PESO em branco","-")</f>
        <v>-</v>
      </c>
    </row>
    <row r="39" spans="1:9" ht="15" customHeight="1" x14ac:dyDescent="0.3">
      <c r="A39" s="145" t="s">
        <v>44</v>
      </c>
      <c r="B39" s="146"/>
      <c r="C39" s="54"/>
      <c r="D39" s="54"/>
      <c r="E39" s="162"/>
      <c r="F39" s="162"/>
      <c r="G39" s="162"/>
      <c r="H39" s="163"/>
      <c r="I39" s="5" t="str">
        <f>IF(COUNT(C39:D39)=1,"--&gt;Verifique! Item QTDE ou PESO em branco","-")</f>
        <v>-</v>
      </c>
    </row>
    <row r="40" spans="1:9" ht="15" customHeight="1" x14ac:dyDescent="0.3">
      <c r="A40" s="151" t="s">
        <v>24</v>
      </c>
      <c r="B40" s="152"/>
      <c r="C40" s="46">
        <f>SUM(C37:C39)</f>
        <v>0</v>
      </c>
      <c r="D40" s="46"/>
      <c r="E40" s="153"/>
      <c r="F40" s="153"/>
      <c r="G40" s="153"/>
      <c r="H40" s="154"/>
    </row>
    <row r="41" spans="1:9" ht="15" customHeight="1" x14ac:dyDescent="0.3">
      <c r="A41" s="155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7"/>
    </row>
    <row r="42" spans="1:9" ht="14.7" customHeight="1" x14ac:dyDescent="0.3">
      <c r="A42" s="145" t="s">
        <v>46</v>
      </c>
      <c r="B42" s="146"/>
      <c r="C42" s="55"/>
      <c r="D42" s="55"/>
      <c r="E42" s="166"/>
      <c r="F42" s="166"/>
      <c r="G42" s="166"/>
      <c r="H42" s="167"/>
      <c r="I42" s="5" t="str">
        <f>IF(COUNT(C42:D42)=1,"--&gt;Verifique! Item QTDE ou PESO em branco","-")</f>
        <v>-</v>
      </c>
    </row>
    <row r="43" spans="1:9" ht="14.7" customHeight="1" x14ac:dyDescent="0.3">
      <c r="A43" s="145" t="s">
        <v>47</v>
      </c>
      <c r="B43" s="146"/>
      <c r="C43" s="54"/>
      <c r="D43" s="54"/>
      <c r="E43" s="166"/>
      <c r="F43" s="166"/>
      <c r="G43" s="166"/>
      <c r="H43" s="167"/>
      <c r="I43" s="5" t="str">
        <f>IF(COUNT(C43:D43)=1,"--&gt;Verifique! Item QTDE ou PESO em branco","-")</f>
        <v>-</v>
      </c>
    </row>
    <row r="44" spans="1:9" ht="14.7" customHeight="1" x14ac:dyDescent="0.3">
      <c r="A44" s="145" t="s">
        <v>48</v>
      </c>
      <c r="B44" s="146"/>
      <c r="C44" s="54"/>
      <c r="D44" s="54"/>
      <c r="E44" s="166"/>
      <c r="F44" s="166"/>
      <c r="G44" s="166"/>
      <c r="H44" s="167"/>
      <c r="I44" s="5" t="str">
        <f>IF(COUNT(C44:D44)=1,"--&gt;Verifique! Item QTDE ou PESO em branco","-")</f>
        <v>-</v>
      </c>
    </row>
    <row r="45" spans="1:9" ht="15" customHeight="1" x14ac:dyDescent="0.3">
      <c r="A45" s="151" t="s">
        <v>24</v>
      </c>
      <c r="B45" s="152"/>
      <c r="C45" s="46">
        <f>SUM(C42:C44)</f>
        <v>0</v>
      </c>
      <c r="D45" s="46"/>
      <c r="E45" s="153"/>
      <c r="F45" s="153"/>
      <c r="G45" s="153"/>
      <c r="H45" s="154"/>
    </row>
    <row r="46" spans="1:9" ht="15" customHeight="1" x14ac:dyDescent="0.3">
      <c r="A46" s="155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7"/>
    </row>
    <row r="47" spans="1:9" ht="14.7" customHeight="1" x14ac:dyDescent="0.3">
      <c r="A47" s="145" t="s">
        <v>50</v>
      </c>
      <c r="B47" s="146"/>
      <c r="C47" s="56"/>
      <c r="D47" s="54"/>
      <c r="E47" s="162"/>
      <c r="F47" s="162"/>
      <c r="G47" s="162"/>
      <c r="H47" s="163"/>
      <c r="I47" s="5" t="str">
        <f>IF(COUNT(C47:D47)=1,"--&gt;Verifique! Item QTDE ou PESO em branco","-")</f>
        <v>-</v>
      </c>
    </row>
    <row r="48" spans="1:9" ht="14.7" customHeight="1" x14ac:dyDescent="0.3">
      <c r="A48" s="145" t="s">
        <v>51</v>
      </c>
      <c r="B48" s="146"/>
      <c r="C48" s="54"/>
      <c r="D48" s="54"/>
      <c r="E48" s="166"/>
      <c r="F48" s="166"/>
      <c r="G48" s="166"/>
      <c r="H48" s="167"/>
      <c r="I48" s="5" t="str">
        <f>IF(COUNT(C48:D48)=1,"--&gt;Verifique! Item QTDE ou PESO em branco","-")</f>
        <v>-</v>
      </c>
    </row>
    <row r="49" spans="1:9" ht="14.7" customHeight="1" x14ac:dyDescent="0.3">
      <c r="A49" s="145" t="s">
        <v>52</v>
      </c>
      <c r="B49" s="146"/>
      <c r="C49" s="54"/>
      <c r="D49" s="54"/>
      <c r="E49" s="166"/>
      <c r="F49" s="166"/>
      <c r="G49" s="166"/>
      <c r="H49" s="167"/>
      <c r="I49" s="5" t="str">
        <f>IF(COUNT(C49:D49)=1,"--&gt;Verifique! Item QTDE ou PESO em branco","-")</f>
        <v>-</v>
      </c>
    </row>
    <row r="50" spans="1:9" ht="15" customHeight="1" x14ac:dyDescent="0.3">
      <c r="A50" s="151" t="s">
        <v>24</v>
      </c>
      <c r="B50" s="152"/>
      <c r="C50" s="46">
        <f>SUM(C47:C49)</f>
        <v>0</v>
      </c>
      <c r="D50" s="46"/>
      <c r="E50" s="153"/>
      <c r="F50" s="153"/>
      <c r="G50" s="153"/>
      <c r="H50" s="154"/>
    </row>
    <row r="51" spans="1:9" ht="15" customHeight="1" x14ac:dyDescent="0.3">
      <c r="A51" s="100" t="s">
        <v>53</v>
      </c>
      <c r="B51" s="101"/>
      <c r="C51" s="101"/>
      <c r="D51" s="101"/>
      <c r="E51" s="101"/>
      <c r="F51" s="101"/>
      <c r="G51" s="101"/>
      <c r="H51" s="102"/>
    </row>
    <row r="52" spans="1:9" ht="14.7" customHeight="1" x14ac:dyDescent="0.3">
      <c r="A52" s="141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4"/>
    </row>
    <row r="53" spans="1:9" x14ac:dyDescent="0.3">
      <c r="A53" s="137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40"/>
    </row>
    <row r="54" spans="1:9" x14ac:dyDescent="0.3">
      <c r="A54" s="137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40"/>
    </row>
    <row r="55" spans="1:9" x14ac:dyDescent="0.3">
      <c r="A55" s="137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40"/>
    </row>
    <row r="56" spans="1:9" x14ac:dyDescent="0.3">
      <c r="A56" s="134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5"/>
    </row>
    <row r="57" spans="1:9" x14ac:dyDescent="0.3">
      <c r="A57" s="100" t="s">
        <v>58</v>
      </c>
      <c r="B57" s="101"/>
      <c r="C57" s="101"/>
      <c r="D57" s="101"/>
      <c r="E57" s="101"/>
      <c r="F57" s="101"/>
      <c r="G57" s="101"/>
      <c r="H57" s="102"/>
    </row>
    <row r="58" spans="1:9" x14ac:dyDescent="0.3">
      <c r="A58" s="121" t="s">
        <v>59</v>
      </c>
      <c r="B58" s="122"/>
      <c r="C58" s="122"/>
      <c r="D58" s="122"/>
      <c r="E58" s="122"/>
      <c r="F58" s="124">
        <f>C56</f>
        <v>0</v>
      </c>
      <c r="G58" s="124"/>
      <c r="H58" s="125"/>
    </row>
    <row r="59" spans="1:9" x14ac:dyDescent="0.3">
      <c r="A59" s="121" t="s">
        <v>60</v>
      </c>
      <c r="B59" s="122"/>
      <c r="C59" s="122"/>
      <c r="D59" s="122"/>
      <c r="E59" s="122"/>
      <c r="F59" s="123">
        <f>H5</f>
        <v>0</v>
      </c>
      <c r="G59" s="124"/>
      <c r="H59" s="125"/>
    </row>
    <row r="60" spans="1:9" x14ac:dyDescent="0.3">
      <c r="A60" s="126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2" t="s">
        <v>62</v>
      </c>
      <c r="B61" s="113"/>
      <c r="C61" s="113"/>
      <c r="D61" s="113"/>
      <c r="E61" s="113"/>
      <c r="F61" s="113"/>
      <c r="G61" s="113"/>
      <c r="H61" s="114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8" t="s">
        <v>64</v>
      </c>
      <c r="B63" s="129"/>
      <c r="C63" s="129"/>
      <c r="D63" s="129"/>
      <c r="E63" s="129"/>
      <c r="F63" s="129"/>
      <c r="G63" s="129"/>
      <c r="H63" s="130"/>
    </row>
    <row r="64" spans="1:9" x14ac:dyDescent="0.3">
      <c r="A64" s="103"/>
      <c r="B64" s="104"/>
      <c r="C64" s="104"/>
      <c r="D64" s="104"/>
      <c r="E64" s="104"/>
      <c r="F64" s="104"/>
      <c r="G64" s="104"/>
      <c r="H64" s="105"/>
    </row>
    <row r="65" spans="1:8" x14ac:dyDescent="0.3">
      <c r="A65" s="106"/>
      <c r="B65" s="107"/>
      <c r="C65" s="107"/>
      <c r="D65" s="107"/>
      <c r="E65" s="107"/>
      <c r="F65" s="107"/>
      <c r="G65" s="107"/>
      <c r="H65" s="108"/>
    </row>
    <row r="66" spans="1:8" x14ac:dyDescent="0.3">
      <c r="A66" s="106"/>
      <c r="B66" s="107"/>
      <c r="C66" s="107"/>
      <c r="D66" s="107"/>
      <c r="E66" s="107"/>
      <c r="F66" s="107"/>
      <c r="G66" s="107"/>
      <c r="H66" s="108"/>
    </row>
    <row r="67" spans="1:8" x14ac:dyDescent="0.3">
      <c r="A67" s="106"/>
      <c r="B67" s="107"/>
      <c r="C67" s="107"/>
      <c r="D67" s="107"/>
      <c r="E67" s="107"/>
      <c r="F67" s="107"/>
      <c r="G67" s="107"/>
      <c r="H67" s="108"/>
    </row>
    <row r="68" spans="1:8" x14ac:dyDescent="0.3">
      <c r="A68" s="131"/>
      <c r="B68" s="132"/>
      <c r="C68" s="132"/>
      <c r="D68" s="132"/>
      <c r="E68" s="132"/>
      <c r="F68" s="132"/>
      <c r="G68" s="132"/>
      <c r="H68" s="133"/>
    </row>
    <row r="69" spans="1:8" x14ac:dyDescent="0.3">
      <c r="A69" s="100" t="s">
        <v>65</v>
      </c>
      <c r="B69" s="101"/>
      <c r="C69" s="101"/>
      <c r="D69" s="101"/>
      <c r="E69" s="101"/>
      <c r="F69" s="101"/>
      <c r="G69" s="101"/>
      <c r="H69" s="102"/>
    </row>
    <row r="70" spans="1:8" x14ac:dyDescent="0.3">
      <c r="A70" s="103"/>
      <c r="B70" s="104"/>
      <c r="C70" s="104"/>
      <c r="D70" s="104"/>
      <c r="E70" s="104"/>
      <c r="F70" s="104"/>
      <c r="G70" s="104"/>
      <c r="H70" s="105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44" priority="12" operator="containsText" text="Verifique">
      <formula>NOT(ISERROR(SEARCH("Verifique",I8)))</formula>
    </cfRule>
  </conditionalFormatting>
  <conditionalFormatting sqref="I19:I28">
    <cfRule type="containsText" dxfId="143" priority="5" operator="containsText" text="Verifique">
      <formula>NOT(ISERROR(SEARCH("Verifique",I19)))</formula>
    </cfRule>
  </conditionalFormatting>
  <conditionalFormatting sqref="I31:I34">
    <cfRule type="containsText" dxfId="142" priority="4" operator="containsText" text="Verifique">
      <formula>NOT(ISERROR(SEARCH("Verifique",I31)))</formula>
    </cfRule>
  </conditionalFormatting>
  <conditionalFormatting sqref="I37:I39">
    <cfRule type="containsText" dxfId="141" priority="3" operator="containsText" text="Verifique">
      <formula>NOT(ISERROR(SEARCH("Verifique",I37)))</formula>
    </cfRule>
  </conditionalFormatting>
  <conditionalFormatting sqref="I42:I44">
    <cfRule type="containsText" dxfId="140" priority="2" operator="containsText" text="Verifique">
      <formula>NOT(ISERROR(SEARCH("Verifique",I42)))</formula>
    </cfRule>
  </conditionalFormatting>
  <conditionalFormatting sqref="I47:I49">
    <cfRule type="containsText" dxfId="139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8C09662A-0EF1-4F26-AAF0-56015B7F17D3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theme="9" tint="-0.249977111117893"/>
  </sheetPr>
  <dimension ref="A1:L79"/>
  <sheetViews>
    <sheetView showGridLines="0" zoomScaleNormal="100" zoomScaleSheetLayoutView="100" workbookViewId="0">
      <selection activeCell="E16" sqref="E16:H16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5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7"/>
    </row>
    <row r="8" spans="1:9" ht="14.7" customHeight="1" x14ac:dyDescent="0.3">
      <c r="A8" s="145" t="s">
        <v>15</v>
      </c>
      <c r="B8" s="146"/>
      <c r="C8" s="54"/>
      <c r="D8" s="54"/>
      <c r="E8" s="162"/>
      <c r="F8" s="162"/>
      <c r="G8" s="162"/>
      <c r="H8" s="163"/>
      <c r="I8" s="5" t="str">
        <f>IF(COUNT(C8:D8)=1,"--&gt;Verifique! Item QTDE ou PESO em branco","-")</f>
        <v>-</v>
      </c>
    </row>
    <row r="9" spans="1:9" ht="14.7" customHeight="1" x14ac:dyDescent="0.3">
      <c r="A9" s="145" t="s">
        <v>16</v>
      </c>
      <c r="B9" s="146"/>
      <c r="C9" s="54"/>
      <c r="D9" s="54"/>
      <c r="E9" s="166"/>
      <c r="F9" s="166"/>
      <c r="G9" s="166"/>
      <c r="H9" s="167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5" t="s">
        <v>17</v>
      </c>
      <c r="B10" s="146"/>
      <c r="C10" s="54"/>
      <c r="D10" s="54"/>
      <c r="E10" s="166"/>
      <c r="F10" s="166"/>
      <c r="G10" s="166"/>
      <c r="H10" s="167"/>
      <c r="I10" s="5" t="str">
        <f t="shared" si="0"/>
        <v>-</v>
      </c>
    </row>
    <row r="11" spans="1:9" ht="15" customHeight="1" x14ac:dyDescent="0.3">
      <c r="A11" s="145" t="s">
        <v>18</v>
      </c>
      <c r="B11" s="146"/>
      <c r="C11" s="54"/>
      <c r="D11" s="54"/>
      <c r="E11" s="166"/>
      <c r="F11" s="166"/>
      <c r="G11" s="166"/>
      <c r="H11" s="167"/>
      <c r="I11" s="5" t="str">
        <f t="shared" si="0"/>
        <v>-</v>
      </c>
    </row>
    <row r="12" spans="1:9" ht="15" customHeight="1" x14ac:dyDescent="0.3">
      <c r="A12" s="145" t="s">
        <v>19</v>
      </c>
      <c r="B12" s="146"/>
      <c r="C12" s="54"/>
      <c r="D12" s="54"/>
      <c r="E12" s="166"/>
      <c r="F12" s="166"/>
      <c r="G12" s="166"/>
      <c r="H12" s="167"/>
      <c r="I12" s="5" t="str">
        <f t="shared" si="0"/>
        <v>-</v>
      </c>
    </row>
    <row r="13" spans="1:9" ht="15" customHeight="1" x14ac:dyDescent="0.3">
      <c r="A13" s="145" t="s">
        <v>20</v>
      </c>
      <c r="B13" s="146"/>
      <c r="C13" s="54"/>
      <c r="D13" s="54"/>
      <c r="E13" s="166"/>
      <c r="F13" s="166"/>
      <c r="G13" s="166"/>
      <c r="H13" s="167"/>
      <c r="I13" s="5" t="str">
        <f t="shared" si="0"/>
        <v>-</v>
      </c>
    </row>
    <row r="14" spans="1:9" ht="15" customHeight="1" x14ac:dyDescent="0.3">
      <c r="A14" s="145" t="s">
        <v>21</v>
      </c>
      <c r="B14" s="146"/>
      <c r="C14" s="54"/>
      <c r="D14" s="54"/>
      <c r="E14" s="166"/>
      <c r="F14" s="166"/>
      <c r="G14" s="166"/>
      <c r="H14" s="167"/>
      <c r="I14" s="5" t="str">
        <f t="shared" si="0"/>
        <v>-</v>
      </c>
    </row>
    <row r="15" spans="1:9" ht="15" customHeight="1" x14ac:dyDescent="0.3">
      <c r="A15" s="145" t="s">
        <v>22</v>
      </c>
      <c r="B15" s="146"/>
      <c r="C15" s="54"/>
      <c r="D15" s="54"/>
      <c r="E15" s="166"/>
      <c r="F15" s="166"/>
      <c r="G15" s="166"/>
      <c r="H15" s="167"/>
      <c r="I15" s="5" t="str">
        <f t="shared" si="0"/>
        <v>-</v>
      </c>
    </row>
    <row r="16" spans="1:9" ht="15" customHeight="1" x14ac:dyDescent="0.3">
      <c r="A16" s="145" t="s">
        <v>23</v>
      </c>
      <c r="B16" s="146"/>
      <c r="C16" s="54"/>
      <c r="D16" s="54"/>
      <c r="E16" s="166"/>
      <c r="F16" s="166"/>
      <c r="G16" s="166"/>
      <c r="H16" s="167"/>
      <c r="I16" s="5" t="str">
        <f t="shared" si="0"/>
        <v>-</v>
      </c>
    </row>
    <row r="17" spans="1:12" ht="15" customHeight="1" x14ac:dyDescent="0.3">
      <c r="A17" s="151" t="s">
        <v>24</v>
      </c>
      <c r="B17" s="152"/>
      <c r="C17" s="45">
        <f>SUM(C8:C16)</f>
        <v>0</v>
      </c>
      <c r="D17" s="45"/>
      <c r="E17" s="153"/>
      <c r="F17" s="153"/>
      <c r="G17" s="153"/>
      <c r="H17" s="154"/>
      <c r="I17" s="3"/>
      <c r="J17" s="3"/>
      <c r="K17" s="1"/>
      <c r="L17" s="1"/>
    </row>
    <row r="18" spans="1:12" ht="15" customHeight="1" x14ac:dyDescent="0.3">
      <c r="A18" s="155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7"/>
      <c r="I18" s="4"/>
      <c r="J18" s="4"/>
      <c r="K18" s="2"/>
      <c r="L18" s="2"/>
    </row>
    <row r="19" spans="1:12" ht="14.7" customHeight="1" x14ac:dyDescent="0.3">
      <c r="A19" s="145" t="s">
        <v>26</v>
      </c>
      <c r="B19" s="146"/>
      <c r="C19" s="54"/>
      <c r="D19" s="54"/>
      <c r="E19" s="166"/>
      <c r="F19" s="166"/>
      <c r="G19" s="166"/>
      <c r="H19" s="167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5" t="s">
        <v>27</v>
      </c>
      <c r="B20" s="146"/>
      <c r="C20" s="54"/>
      <c r="D20" s="54"/>
      <c r="E20" s="166"/>
      <c r="F20" s="166"/>
      <c r="G20" s="166"/>
      <c r="H20" s="167"/>
      <c r="I20" s="5" t="str">
        <f t="shared" si="1"/>
        <v>-</v>
      </c>
      <c r="J20" s="4"/>
      <c r="K20" s="2"/>
      <c r="L20" s="2"/>
    </row>
    <row r="21" spans="1:12" x14ac:dyDescent="0.3">
      <c r="A21" s="145" t="s">
        <v>28</v>
      </c>
      <c r="B21" s="146"/>
      <c r="C21" s="54"/>
      <c r="D21" s="54"/>
      <c r="E21" s="166"/>
      <c r="F21" s="166"/>
      <c r="G21" s="166"/>
      <c r="H21" s="167"/>
      <c r="I21" s="5" t="str">
        <f t="shared" si="1"/>
        <v>-</v>
      </c>
    </row>
    <row r="22" spans="1:12" ht="15" customHeight="1" x14ac:dyDescent="0.3">
      <c r="A22" s="145" t="s">
        <v>29</v>
      </c>
      <c r="B22" s="146"/>
      <c r="C22" s="54"/>
      <c r="D22" s="54"/>
      <c r="E22" s="166"/>
      <c r="F22" s="166"/>
      <c r="G22" s="166"/>
      <c r="H22" s="167"/>
      <c r="I22" s="5" t="str">
        <f t="shared" si="1"/>
        <v>-</v>
      </c>
    </row>
    <row r="23" spans="1:12" ht="15" customHeight="1" x14ac:dyDescent="0.3">
      <c r="A23" s="145" t="s">
        <v>30</v>
      </c>
      <c r="B23" s="146"/>
      <c r="C23" s="54"/>
      <c r="D23" s="54"/>
      <c r="E23" s="166"/>
      <c r="F23" s="166"/>
      <c r="G23" s="166"/>
      <c r="H23" s="167"/>
      <c r="I23" s="5" t="str">
        <f t="shared" si="1"/>
        <v>-</v>
      </c>
    </row>
    <row r="24" spans="1:12" ht="15" customHeight="1" x14ac:dyDescent="0.3">
      <c r="A24" s="145" t="s">
        <v>31</v>
      </c>
      <c r="B24" s="146"/>
      <c r="C24" s="54"/>
      <c r="D24" s="54"/>
      <c r="E24" s="166"/>
      <c r="F24" s="166"/>
      <c r="G24" s="166"/>
      <c r="H24" s="167"/>
      <c r="I24" s="5" t="str">
        <f t="shared" si="1"/>
        <v>-</v>
      </c>
    </row>
    <row r="25" spans="1:12" ht="15" customHeight="1" x14ac:dyDescent="0.3">
      <c r="A25" s="145" t="s">
        <v>32</v>
      </c>
      <c r="B25" s="146"/>
      <c r="C25" s="54"/>
      <c r="D25" s="54"/>
      <c r="E25" s="166"/>
      <c r="F25" s="166"/>
      <c r="G25" s="166"/>
      <c r="H25" s="167"/>
      <c r="I25" s="5" t="str">
        <f t="shared" si="1"/>
        <v>-</v>
      </c>
    </row>
    <row r="26" spans="1:12" ht="15" customHeight="1" x14ac:dyDescent="0.3">
      <c r="A26" s="145" t="s">
        <v>33</v>
      </c>
      <c r="B26" s="146"/>
      <c r="C26" s="54"/>
      <c r="D26" s="54"/>
      <c r="E26" s="166"/>
      <c r="F26" s="166"/>
      <c r="G26" s="166"/>
      <c r="H26" s="167"/>
      <c r="I26" s="5" t="str">
        <f t="shared" si="1"/>
        <v>-</v>
      </c>
    </row>
    <row r="27" spans="1:12" ht="15" customHeight="1" x14ac:dyDescent="0.3">
      <c r="A27" s="145" t="s">
        <v>34</v>
      </c>
      <c r="B27" s="146"/>
      <c r="C27" s="54"/>
      <c r="D27" s="54"/>
      <c r="E27" s="166"/>
      <c r="F27" s="166"/>
      <c r="G27" s="166"/>
      <c r="H27" s="167"/>
      <c r="I27" s="5" t="str">
        <f t="shared" si="1"/>
        <v>-</v>
      </c>
    </row>
    <row r="28" spans="1:12" ht="15" customHeight="1" x14ac:dyDescent="0.3">
      <c r="A28" s="145" t="s">
        <v>35</v>
      </c>
      <c r="B28" s="146"/>
      <c r="C28" s="54"/>
      <c r="D28" s="54"/>
      <c r="E28" s="166"/>
      <c r="F28" s="166"/>
      <c r="G28" s="166"/>
      <c r="H28" s="167"/>
      <c r="I28" s="5" t="str">
        <f t="shared" si="1"/>
        <v>-</v>
      </c>
    </row>
    <row r="29" spans="1:12" ht="15" customHeight="1" x14ac:dyDescent="0.3">
      <c r="A29" s="151" t="s">
        <v>24</v>
      </c>
      <c r="B29" s="152"/>
      <c r="C29" s="46">
        <f>SUM(C19:C28)</f>
        <v>0</v>
      </c>
      <c r="D29" s="46"/>
      <c r="E29" s="153"/>
      <c r="F29" s="153"/>
      <c r="G29" s="153"/>
      <c r="H29" s="154"/>
    </row>
    <row r="30" spans="1:12" ht="15" customHeight="1" x14ac:dyDescent="0.3">
      <c r="A30" s="155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7"/>
    </row>
    <row r="31" spans="1:12" ht="15" customHeight="1" x14ac:dyDescent="0.3">
      <c r="A31" s="145" t="s">
        <v>37</v>
      </c>
      <c r="B31" s="146"/>
      <c r="C31" s="54"/>
      <c r="D31" s="54"/>
      <c r="E31" s="166"/>
      <c r="F31" s="166"/>
      <c r="G31" s="166"/>
      <c r="H31" s="167"/>
      <c r="I31" s="5" t="str">
        <f>IF(COUNT(C31:D31)=1,"--&gt;Verifique! Item QTDE ou PESO em branco","-")</f>
        <v>-</v>
      </c>
    </row>
    <row r="32" spans="1:12" ht="15" customHeight="1" x14ac:dyDescent="0.3">
      <c r="A32" s="145" t="s">
        <v>38</v>
      </c>
      <c r="B32" s="146"/>
      <c r="C32" s="54"/>
      <c r="D32" s="54"/>
      <c r="E32" s="166"/>
      <c r="F32" s="166"/>
      <c r="G32" s="166"/>
      <c r="H32" s="167"/>
      <c r="I32" s="5" t="str">
        <f>IF(COUNT(C32:D32)=1,"--&gt;Verifique! Item QTDE ou PESO em branco","-")</f>
        <v>-</v>
      </c>
    </row>
    <row r="33" spans="1:9" ht="14.7" customHeight="1" x14ac:dyDescent="0.3">
      <c r="A33" s="145" t="s">
        <v>39</v>
      </c>
      <c r="B33" s="146"/>
      <c r="C33" s="54"/>
      <c r="D33" s="54"/>
      <c r="E33" s="166"/>
      <c r="F33" s="166"/>
      <c r="G33" s="166"/>
      <c r="H33" s="167"/>
      <c r="I33" s="5" t="str">
        <f>IF(COUNT(C33:D33)=1,"--&gt;Verifique! Item QTDE ou PESO em branco","-")</f>
        <v>-</v>
      </c>
    </row>
    <row r="34" spans="1:9" ht="14.7" customHeight="1" x14ac:dyDescent="0.3">
      <c r="A34" s="145" t="s">
        <v>40</v>
      </c>
      <c r="B34" s="146"/>
      <c r="C34" s="54"/>
      <c r="D34" s="54"/>
      <c r="E34" s="166"/>
      <c r="F34" s="166"/>
      <c r="G34" s="166"/>
      <c r="H34" s="167"/>
      <c r="I34" s="5" t="str">
        <f>IF(COUNT(C34:D34)=1,"--&gt;Verifique! Item QTDE ou PESO em branco","-")</f>
        <v>-</v>
      </c>
    </row>
    <row r="35" spans="1:9" ht="15" customHeight="1" x14ac:dyDescent="0.3">
      <c r="A35" s="151" t="s">
        <v>24</v>
      </c>
      <c r="B35" s="152"/>
      <c r="C35" s="46">
        <f>SUM(C31:C34)</f>
        <v>0</v>
      </c>
      <c r="D35" s="46"/>
      <c r="E35" s="153"/>
      <c r="F35" s="153"/>
      <c r="G35" s="153"/>
      <c r="H35" s="154"/>
    </row>
    <row r="36" spans="1:9" ht="16.2" customHeight="1" x14ac:dyDescent="0.3">
      <c r="A36" s="155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7"/>
    </row>
    <row r="37" spans="1:9" ht="14.7" customHeight="1" x14ac:dyDescent="0.3">
      <c r="A37" s="145" t="s">
        <v>42</v>
      </c>
      <c r="B37" s="146"/>
      <c r="C37" s="54"/>
      <c r="D37" s="54"/>
      <c r="E37" s="166"/>
      <c r="F37" s="166"/>
      <c r="G37" s="166"/>
      <c r="H37" s="167"/>
      <c r="I37" s="5" t="str">
        <f>IF(COUNT(C37:D37)=1,"--&gt;Verifique! Item QTDE ou PESO em branco","-")</f>
        <v>-</v>
      </c>
    </row>
    <row r="38" spans="1:9" ht="14.7" customHeight="1" x14ac:dyDescent="0.3">
      <c r="A38" s="145" t="s">
        <v>43</v>
      </c>
      <c r="B38" s="146"/>
      <c r="C38" s="54"/>
      <c r="D38" s="54"/>
      <c r="E38" s="166"/>
      <c r="F38" s="166"/>
      <c r="G38" s="166"/>
      <c r="H38" s="167"/>
      <c r="I38" s="5" t="str">
        <f>IF(COUNT(C38:D38)=1,"--&gt;Verifique! Item QTDE ou PESO em branco","-")</f>
        <v>-</v>
      </c>
    </row>
    <row r="39" spans="1:9" ht="15" customHeight="1" x14ac:dyDescent="0.3">
      <c r="A39" s="145" t="s">
        <v>44</v>
      </c>
      <c r="B39" s="146"/>
      <c r="C39" s="54"/>
      <c r="D39" s="54"/>
      <c r="E39" s="162"/>
      <c r="F39" s="162"/>
      <c r="G39" s="162"/>
      <c r="H39" s="163"/>
      <c r="I39" s="5" t="str">
        <f>IF(COUNT(C39:D39)=1,"--&gt;Verifique! Item QTDE ou PESO em branco","-")</f>
        <v>-</v>
      </c>
    </row>
    <row r="40" spans="1:9" ht="15" customHeight="1" x14ac:dyDescent="0.3">
      <c r="A40" s="151" t="s">
        <v>24</v>
      </c>
      <c r="B40" s="152"/>
      <c r="C40" s="46">
        <f>SUM(C37:C39)</f>
        <v>0</v>
      </c>
      <c r="D40" s="46"/>
      <c r="E40" s="153"/>
      <c r="F40" s="153"/>
      <c r="G40" s="153"/>
      <c r="H40" s="154"/>
    </row>
    <row r="41" spans="1:9" ht="15" customHeight="1" x14ac:dyDescent="0.3">
      <c r="A41" s="155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7"/>
    </row>
    <row r="42" spans="1:9" ht="14.7" customHeight="1" x14ac:dyDescent="0.3">
      <c r="A42" s="145" t="s">
        <v>46</v>
      </c>
      <c r="B42" s="146"/>
      <c r="C42" s="55"/>
      <c r="D42" s="55"/>
      <c r="E42" s="166"/>
      <c r="F42" s="166"/>
      <c r="G42" s="166"/>
      <c r="H42" s="167"/>
      <c r="I42" s="5" t="str">
        <f>IF(COUNT(C42:D42)=1,"--&gt;Verifique! Item QTDE ou PESO em branco","-")</f>
        <v>-</v>
      </c>
    </row>
    <row r="43" spans="1:9" ht="14.7" customHeight="1" x14ac:dyDescent="0.3">
      <c r="A43" s="145" t="s">
        <v>47</v>
      </c>
      <c r="B43" s="146"/>
      <c r="C43" s="54"/>
      <c r="D43" s="54"/>
      <c r="E43" s="166"/>
      <c r="F43" s="166"/>
      <c r="G43" s="166"/>
      <c r="H43" s="167"/>
      <c r="I43" s="5" t="str">
        <f>IF(COUNT(C43:D43)=1,"--&gt;Verifique! Item QTDE ou PESO em branco","-")</f>
        <v>-</v>
      </c>
    </row>
    <row r="44" spans="1:9" ht="14.7" customHeight="1" x14ac:dyDescent="0.3">
      <c r="A44" s="145" t="s">
        <v>48</v>
      </c>
      <c r="B44" s="146"/>
      <c r="C44" s="54"/>
      <c r="D44" s="54"/>
      <c r="E44" s="166"/>
      <c r="F44" s="166"/>
      <c r="G44" s="166"/>
      <c r="H44" s="167"/>
      <c r="I44" s="5" t="str">
        <f>IF(COUNT(C44:D44)=1,"--&gt;Verifique! Item QTDE ou PESO em branco","-")</f>
        <v>-</v>
      </c>
    </row>
    <row r="45" spans="1:9" ht="15" customHeight="1" x14ac:dyDescent="0.3">
      <c r="A45" s="151" t="s">
        <v>24</v>
      </c>
      <c r="B45" s="152"/>
      <c r="C45" s="46">
        <f>SUM(C42:C44)</f>
        <v>0</v>
      </c>
      <c r="D45" s="46"/>
      <c r="E45" s="153"/>
      <c r="F45" s="153"/>
      <c r="G45" s="153"/>
      <c r="H45" s="154"/>
    </row>
    <row r="46" spans="1:9" ht="15" customHeight="1" x14ac:dyDescent="0.3">
      <c r="A46" s="155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7"/>
    </row>
    <row r="47" spans="1:9" ht="14.7" customHeight="1" x14ac:dyDescent="0.3">
      <c r="A47" s="145" t="s">
        <v>50</v>
      </c>
      <c r="B47" s="146"/>
      <c r="C47" s="56"/>
      <c r="D47" s="54"/>
      <c r="E47" s="162"/>
      <c r="F47" s="162"/>
      <c r="G47" s="162"/>
      <c r="H47" s="163"/>
      <c r="I47" s="5" t="str">
        <f>IF(COUNT(C47:D47)=1,"--&gt;Verifique! Item QTDE ou PESO em branco","-")</f>
        <v>-</v>
      </c>
    </row>
    <row r="48" spans="1:9" ht="14.7" customHeight="1" x14ac:dyDescent="0.3">
      <c r="A48" s="145" t="s">
        <v>51</v>
      </c>
      <c r="B48" s="146"/>
      <c r="C48" s="54"/>
      <c r="D48" s="54"/>
      <c r="E48" s="166"/>
      <c r="F48" s="166"/>
      <c r="G48" s="166"/>
      <c r="H48" s="167"/>
      <c r="I48" s="5" t="str">
        <f>IF(COUNT(C48:D48)=1,"--&gt;Verifique! Item QTDE ou PESO em branco","-")</f>
        <v>-</v>
      </c>
    </row>
    <row r="49" spans="1:9" ht="14.7" customHeight="1" x14ac:dyDescent="0.3">
      <c r="A49" s="145" t="s">
        <v>52</v>
      </c>
      <c r="B49" s="146"/>
      <c r="C49" s="54"/>
      <c r="D49" s="54"/>
      <c r="E49" s="166"/>
      <c r="F49" s="166"/>
      <c r="G49" s="166"/>
      <c r="H49" s="167"/>
      <c r="I49" s="5" t="str">
        <f>IF(COUNT(C49:D49)=1,"--&gt;Verifique! Item QTDE ou PESO em branco","-")</f>
        <v>-</v>
      </c>
    </row>
    <row r="50" spans="1:9" ht="15" customHeight="1" x14ac:dyDescent="0.3">
      <c r="A50" s="151" t="s">
        <v>24</v>
      </c>
      <c r="B50" s="152"/>
      <c r="C50" s="46">
        <f>SUM(C47:C49)</f>
        <v>0</v>
      </c>
      <c r="D50" s="46"/>
      <c r="E50" s="153"/>
      <c r="F50" s="153"/>
      <c r="G50" s="153"/>
      <c r="H50" s="154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38" priority="18" operator="containsText" text="Verifique">
      <formula>NOT(ISERROR(SEARCH("Verifique",I8)))</formula>
    </cfRule>
  </conditionalFormatting>
  <conditionalFormatting sqref="I19:I28">
    <cfRule type="containsText" dxfId="137" priority="11" operator="containsText" text="Verifique">
      <formula>NOT(ISERROR(SEARCH("Verifique",I19)))</formula>
    </cfRule>
  </conditionalFormatting>
  <conditionalFormatting sqref="I31:I34">
    <cfRule type="containsText" dxfId="136" priority="10" operator="containsText" text="Verifique">
      <formula>NOT(ISERROR(SEARCH("Verifique",I31)))</formula>
    </cfRule>
  </conditionalFormatting>
  <conditionalFormatting sqref="I37:I39">
    <cfRule type="containsText" dxfId="135" priority="9" operator="containsText" text="Verifique">
      <formula>NOT(ISERROR(SEARCH("Verifique",I37)))</formula>
    </cfRule>
  </conditionalFormatting>
  <conditionalFormatting sqref="I42:I44">
    <cfRule type="containsText" dxfId="134" priority="8" operator="containsText" text="Verifique">
      <formula>NOT(ISERROR(SEARCH("Verifique",I42)))</formula>
    </cfRule>
  </conditionalFormatting>
  <conditionalFormatting sqref="I47:I49">
    <cfRule type="containsText" dxfId="133" priority="7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5D007A1B-CAA4-4340-959A-737BA2DD6670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theme="9" tint="-0.249977111117893"/>
  </sheetPr>
  <dimension ref="A1:L79"/>
  <sheetViews>
    <sheetView showGridLines="0" view="pageBreakPreview" zoomScaleNormal="110" zoomScaleSheetLayoutView="100" workbookViewId="0">
      <selection activeCell="E15" sqref="E15:H15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32" priority="12" operator="containsText" text="Verifique">
      <formula>NOT(ISERROR(SEARCH("Verifique",I8)))</formula>
    </cfRule>
  </conditionalFormatting>
  <conditionalFormatting sqref="I19:I28">
    <cfRule type="containsText" dxfId="131" priority="5" operator="containsText" text="Verifique">
      <formula>NOT(ISERROR(SEARCH("Verifique",I19)))</formula>
    </cfRule>
  </conditionalFormatting>
  <conditionalFormatting sqref="I31:I34">
    <cfRule type="containsText" dxfId="130" priority="4" operator="containsText" text="Verifique">
      <formula>NOT(ISERROR(SEARCH("Verifique",I31)))</formula>
    </cfRule>
  </conditionalFormatting>
  <conditionalFormatting sqref="I37:I39">
    <cfRule type="containsText" dxfId="129" priority="3" operator="containsText" text="Verifique">
      <formula>NOT(ISERROR(SEARCH("Verifique",I37)))</formula>
    </cfRule>
  </conditionalFormatting>
  <conditionalFormatting sqref="I42:I44">
    <cfRule type="containsText" dxfId="128" priority="2" operator="containsText" text="Verifique">
      <formula>NOT(ISERROR(SEARCH("Verifique",I42)))</formula>
    </cfRule>
  </conditionalFormatting>
  <conditionalFormatting sqref="I47:I49">
    <cfRule type="containsText" dxfId="127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A339700C-7B3C-4E03-A7B8-F18D4AF9B367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theme="9" tint="-0.249977111117893"/>
  </sheetPr>
  <dimension ref="A1:L79"/>
  <sheetViews>
    <sheetView showGridLines="0" view="pageBreakPreview" zoomScaleNormal="110" zoomScaleSheetLayoutView="100" workbookViewId="0">
      <selection activeCell="E16" sqref="E16:H16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">
        <v>118</v>
      </c>
      <c r="C2" s="50"/>
      <c r="D2" s="51"/>
      <c r="E2" s="41" t="s">
        <v>2</v>
      </c>
      <c r="F2" s="170"/>
      <c r="G2" s="171"/>
      <c r="H2" s="172"/>
    </row>
    <row r="3" spans="1:9" ht="15" customHeight="1" x14ac:dyDescent="0.3">
      <c r="A3" s="48" t="s">
        <v>3</v>
      </c>
      <c r="B3" s="170"/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/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/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55.8" customHeight="1" x14ac:dyDescent="0.3">
      <c r="A39" s="189" t="s">
        <v>44</v>
      </c>
      <c r="B39" s="189"/>
      <c r="C39" s="54"/>
      <c r="D39" s="54"/>
      <c r="E39" s="164"/>
      <c r="F39" s="164"/>
      <c r="G39" s="164"/>
      <c r="H39" s="164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/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26" priority="12" operator="containsText" text="Verifique">
      <formula>NOT(ISERROR(SEARCH("Verifique",I8)))</formula>
    </cfRule>
  </conditionalFormatting>
  <conditionalFormatting sqref="I19:I28">
    <cfRule type="containsText" dxfId="125" priority="5" operator="containsText" text="Verifique">
      <formula>NOT(ISERROR(SEARCH("Verifique",I19)))</formula>
    </cfRule>
  </conditionalFormatting>
  <conditionalFormatting sqref="I31:I34">
    <cfRule type="containsText" dxfId="124" priority="4" operator="containsText" text="Verifique">
      <formula>NOT(ISERROR(SEARCH("Verifique",I31)))</formula>
    </cfRule>
  </conditionalFormatting>
  <conditionalFormatting sqref="I37:I39">
    <cfRule type="containsText" dxfId="123" priority="3" operator="containsText" text="Verifique">
      <formula>NOT(ISERROR(SEARCH("Verifique",I37)))</formula>
    </cfRule>
  </conditionalFormatting>
  <conditionalFormatting sqref="I42:I44">
    <cfRule type="containsText" dxfId="122" priority="2" operator="containsText" text="Verifique">
      <formula>NOT(ISERROR(SEARCH("Verifique",I42)))</formula>
    </cfRule>
  </conditionalFormatting>
  <conditionalFormatting sqref="I47:I49">
    <cfRule type="containsText" dxfId="121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29B99725-2B4A-43CF-857D-76651C9C680A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theme="9" tint="-0.249977111117893"/>
  </sheetPr>
  <dimension ref="A1:L79"/>
  <sheetViews>
    <sheetView showGridLines="0" view="pageBreakPreview" zoomScaleNormal="110" zoomScaleSheetLayoutView="100" workbookViewId="0">
      <selection activeCell="E21" sqref="E21:H21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">
        <v>118</v>
      </c>
      <c r="C2" s="50"/>
      <c r="D2" s="51"/>
      <c r="E2" s="41" t="s">
        <v>2</v>
      </c>
      <c r="F2" s="170"/>
      <c r="G2" s="171"/>
      <c r="H2" s="172"/>
    </row>
    <row r="3" spans="1:9" ht="15" customHeight="1" x14ac:dyDescent="0.3">
      <c r="A3" s="48" t="s">
        <v>3</v>
      </c>
      <c r="B3" s="170"/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/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/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20" priority="12" operator="containsText" text="Verifique">
      <formula>NOT(ISERROR(SEARCH("Verifique",I8)))</formula>
    </cfRule>
  </conditionalFormatting>
  <conditionalFormatting sqref="I19:I28">
    <cfRule type="containsText" dxfId="119" priority="5" operator="containsText" text="Verifique">
      <formula>NOT(ISERROR(SEARCH("Verifique",I19)))</formula>
    </cfRule>
  </conditionalFormatting>
  <conditionalFormatting sqref="I31:I34">
    <cfRule type="containsText" dxfId="118" priority="4" operator="containsText" text="Verifique">
      <formula>NOT(ISERROR(SEARCH("Verifique",I31)))</formula>
    </cfRule>
  </conditionalFormatting>
  <conditionalFormatting sqref="I37:I39">
    <cfRule type="containsText" dxfId="117" priority="3" operator="containsText" text="Verifique">
      <formula>NOT(ISERROR(SEARCH("Verifique",I37)))</formula>
    </cfRule>
  </conditionalFormatting>
  <conditionalFormatting sqref="I42:I44">
    <cfRule type="containsText" dxfId="116" priority="2" operator="containsText" text="Verifique">
      <formula>NOT(ISERROR(SEARCH("Verifique",I42)))</formula>
    </cfRule>
  </conditionalFormatting>
  <conditionalFormatting sqref="I47:I49">
    <cfRule type="containsText" dxfId="115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16378397-5827-4EFE-80E5-DECD12E0DB5E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theme="9" tint="-0.249977111117893"/>
  </sheetPr>
  <dimension ref="A1:L79"/>
  <sheetViews>
    <sheetView showGridLines="0" view="pageBreakPreview" zoomScaleNormal="110" zoomScaleSheetLayoutView="100" workbookViewId="0">
      <selection activeCell="E44" sqref="E44:H44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4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52.8" customHeight="1" x14ac:dyDescent="0.3">
      <c r="A37" s="146" t="s">
        <v>42</v>
      </c>
      <c r="B37" s="146"/>
      <c r="C37" s="54"/>
      <c r="D37" s="54"/>
      <c r="E37" s="158"/>
      <c r="F37" s="147"/>
      <c r="G37" s="147"/>
      <c r="H37" s="147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81" customHeight="1" x14ac:dyDescent="0.3">
      <c r="A39" s="146" t="s">
        <v>44</v>
      </c>
      <c r="B39" s="146"/>
      <c r="C39" s="54"/>
      <c r="D39" s="54"/>
      <c r="E39" s="164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39.6" customHeight="1" x14ac:dyDescent="0.3">
      <c r="A42" s="146" t="s">
        <v>46</v>
      </c>
      <c r="B42" s="146"/>
      <c r="C42" s="55"/>
      <c r="D42" s="55"/>
      <c r="E42" s="164"/>
      <c r="F42" s="164"/>
      <c r="G42" s="164"/>
      <c r="H42" s="164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14" priority="12" operator="containsText" text="Verifique">
      <formula>NOT(ISERROR(SEARCH("Verifique",I8)))</formula>
    </cfRule>
  </conditionalFormatting>
  <conditionalFormatting sqref="I19:I28">
    <cfRule type="containsText" dxfId="113" priority="5" operator="containsText" text="Verifique">
      <formula>NOT(ISERROR(SEARCH("Verifique",I19)))</formula>
    </cfRule>
  </conditionalFormatting>
  <conditionalFormatting sqref="I31:I34">
    <cfRule type="containsText" dxfId="112" priority="4" operator="containsText" text="Verifique">
      <formula>NOT(ISERROR(SEARCH("Verifique",I31)))</formula>
    </cfRule>
  </conditionalFormatting>
  <conditionalFormatting sqref="I37:I39">
    <cfRule type="containsText" dxfId="111" priority="3" operator="containsText" text="Verifique">
      <formula>NOT(ISERROR(SEARCH("Verifique",I37)))</formula>
    </cfRule>
  </conditionalFormatting>
  <conditionalFormatting sqref="I42:I44">
    <cfRule type="containsText" dxfId="110" priority="2" operator="containsText" text="Verifique">
      <formula>NOT(ISERROR(SEARCH("Verifique",I42)))</formula>
    </cfRule>
  </conditionalFormatting>
  <conditionalFormatting sqref="I47:I49">
    <cfRule type="containsText" dxfId="109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658A4F07-6560-4004-B252-593AD9CB233B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tabColor theme="0" tint="-0.499984740745262"/>
  </sheetPr>
  <dimension ref="A1:L79"/>
  <sheetViews>
    <sheetView showGridLines="0" view="pageBreakPreview" topLeftCell="A31" zoomScaleNormal="110" zoomScaleSheetLayoutView="100" workbookViewId="0">
      <selection activeCell="E21" sqref="E21:H21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73" t="s">
        <v>0</v>
      </c>
      <c r="B1" s="174"/>
      <c r="C1" s="174"/>
      <c r="D1" s="174"/>
      <c r="E1" s="174"/>
      <c r="F1" s="174"/>
      <c r="G1" s="174"/>
      <c r="H1" s="175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0" t="s">
        <v>10</v>
      </c>
      <c r="B6" s="101"/>
      <c r="C6" s="101"/>
      <c r="D6" s="101"/>
      <c r="E6" s="101"/>
      <c r="F6" s="101"/>
      <c r="G6" s="101"/>
      <c r="H6" s="102"/>
    </row>
    <row r="7" spans="1:9" ht="15" customHeight="1" x14ac:dyDescent="0.3">
      <c r="A7" s="155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7"/>
    </row>
    <row r="8" spans="1:9" ht="14.7" customHeight="1" x14ac:dyDescent="0.3">
      <c r="A8" s="145" t="s">
        <v>15</v>
      </c>
      <c r="B8" s="146"/>
      <c r="C8" s="54"/>
      <c r="D8" s="54"/>
      <c r="E8" s="162"/>
      <c r="F8" s="162"/>
      <c r="G8" s="162"/>
      <c r="H8" s="163"/>
      <c r="I8" s="5" t="str">
        <f>IF(COUNT(C8:D8)=1,"--&gt;Verifique! Item QTDE ou PESO em branco","-")</f>
        <v>-</v>
      </c>
    </row>
    <row r="9" spans="1:9" ht="16.8" customHeight="1" x14ac:dyDescent="0.3">
      <c r="A9" s="145" t="s">
        <v>16</v>
      </c>
      <c r="B9" s="146"/>
      <c r="C9" s="54"/>
      <c r="D9" s="54"/>
      <c r="E9" s="166"/>
      <c r="F9" s="166"/>
      <c r="G9" s="166"/>
      <c r="H9" s="167"/>
      <c r="I9" s="5" t="str">
        <f t="shared" ref="I9:I16" si="0">IF(COUNT(C9:D9)=1,"--&gt;Verifique! Item QTDE ou PESO em branco","-")</f>
        <v>-</v>
      </c>
    </row>
    <row r="10" spans="1:9" ht="30.6" customHeight="1" x14ac:dyDescent="0.3">
      <c r="A10" s="145" t="s">
        <v>17</v>
      </c>
      <c r="B10" s="146"/>
      <c r="C10" s="54"/>
      <c r="D10" s="54"/>
      <c r="E10" s="164"/>
      <c r="F10" s="166"/>
      <c r="G10" s="166"/>
      <c r="H10" s="167"/>
      <c r="I10" s="5" t="str">
        <f t="shared" si="0"/>
        <v>-</v>
      </c>
    </row>
    <row r="11" spans="1:9" ht="15" customHeight="1" x14ac:dyDescent="0.3">
      <c r="A11" s="145" t="s">
        <v>18</v>
      </c>
      <c r="B11" s="146"/>
      <c r="C11" s="54"/>
      <c r="D11" s="54"/>
      <c r="E11" s="166"/>
      <c r="F11" s="166"/>
      <c r="G11" s="166"/>
      <c r="H11" s="167"/>
      <c r="I11" s="5" t="str">
        <f t="shared" si="0"/>
        <v>-</v>
      </c>
    </row>
    <row r="12" spans="1:9" ht="15" customHeight="1" x14ac:dyDescent="0.3">
      <c r="A12" s="145" t="s">
        <v>19</v>
      </c>
      <c r="B12" s="146"/>
      <c r="C12" s="54"/>
      <c r="D12" s="54"/>
      <c r="E12" s="166"/>
      <c r="F12" s="166"/>
      <c r="G12" s="166"/>
      <c r="H12" s="167"/>
      <c r="I12" s="5" t="str">
        <f t="shared" si="0"/>
        <v>-</v>
      </c>
    </row>
    <row r="13" spans="1:9" ht="15" customHeight="1" x14ac:dyDescent="0.3">
      <c r="A13" s="145" t="s">
        <v>20</v>
      </c>
      <c r="B13" s="146"/>
      <c r="C13" s="54"/>
      <c r="D13" s="54"/>
      <c r="E13" s="166"/>
      <c r="F13" s="166"/>
      <c r="G13" s="166"/>
      <c r="H13" s="167"/>
      <c r="I13" s="5" t="str">
        <f t="shared" si="0"/>
        <v>-</v>
      </c>
    </row>
    <row r="14" spans="1:9" ht="15" customHeight="1" x14ac:dyDescent="0.3">
      <c r="A14" s="145" t="s">
        <v>21</v>
      </c>
      <c r="B14" s="146"/>
      <c r="C14" s="54"/>
      <c r="D14" s="54"/>
      <c r="E14" s="166"/>
      <c r="F14" s="166"/>
      <c r="G14" s="166"/>
      <c r="H14" s="167"/>
      <c r="I14" s="5" t="str">
        <f t="shared" si="0"/>
        <v>-</v>
      </c>
    </row>
    <row r="15" spans="1:9" ht="15" customHeight="1" x14ac:dyDescent="0.3">
      <c r="A15" s="145" t="s">
        <v>22</v>
      </c>
      <c r="B15" s="146"/>
      <c r="C15" s="54"/>
      <c r="D15" s="54"/>
      <c r="E15" s="166"/>
      <c r="F15" s="166"/>
      <c r="G15" s="166"/>
      <c r="H15" s="167"/>
      <c r="I15" s="5" t="str">
        <f t="shared" si="0"/>
        <v>-</v>
      </c>
    </row>
    <row r="16" spans="1:9" ht="15" customHeight="1" x14ac:dyDescent="0.3">
      <c r="A16" s="145" t="s">
        <v>23</v>
      </c>
      <c r="B16" s="146"/>
      <c r="C16" s="54"/>
      <c r="D16" s="54"/>
      <c r="E16" s="166"/>
      <c r="F16" s="166"/>
      <c r="G16" s="166"/>
      <c r="H16" s="167"/>
      <c r="I16" s="5" t="str">
        <f t="shared" si="0"/>
        <v>-</v>
      </c>
    </row>
    <row r="17" spans="1:12" ht="15" customHeight="1" x14ac:dyDescent="0.3">
      <c r="A17" s="151" t="s">
        <v>24</v>
      </c>
      <c r="B17" s="152"/>
      <c r="C17" s="45">
        <f>SUM(C8:C16)</f>
        <v>0</v>
      </c>
      <c r="D17" s="45"/>
      <c r="E17" s="153"/>
      <c r="F17" s="153"/>
      <c r="G17" s="153"/>
      <c r="H17" s="154"/>
      <c r="I17" s="3"/>
      <c r="J17" s="3"/>
      <c r="K17" s="1"/>
      <c r="L17" s="1"/>
    </row>
    <row r="18" spans="1:12" ht="15" customHeight="1" x14ac:dyDescent="0.3">
      <c r="A18" s="155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7"/>
      <c r="I18" s="4"/>
      <c r="J18" s="4"/>
      <c r="K18" s="2"/>
      <c r="L18" s="2"/>
    </row>
    <row r="19" spans="1:12" ht="14.7" customHeight="1" x14ac:dyDescent="0.3">
      <c r="A19" s="145" t="s">
        <v>26</v>
      </c>
      <c r="B19" s="146"/>
      <c r="C19" s="54"/>
      <c r="D19" s="54"/>
      <c r="E19" s="166"/>
      <c r="F19" s="166"/>
      <c r="G19" s="166"/>
      <c r="H19" s="167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5" t="s">
        <v>27</v>
      </c>
      <c r="B20" s="146"/>
      <c r="C20" s="54"/>
      <c r="D20" s="54"/>
      <c r="E20" s="166"/>
      <c r="F20" s="166"/>
      <c r="G20" s="166"/>
      <c r="H20" s="167"/>
      <c r="I20" s="5" t="str">
        <f t="shared" si="1"/>
        <v>-</v>
      </c>
      <c r="J20" s="4"/>
      <c r="K20" s="2"/>
      <c r="L20" s="2"/>
    </row>
    <row r="21" spans="1:12" ht="37.200000000000003" customHeight="1" x14ac:dyDescent="0.3">
      <c r="A21" s="145" t="s">
        <v>28</v>
      </c>
      <c r="B21" s="146"/>
      <c r="C21" s="54"/>
      <c r="D21" s="54"/>
      <c r="E21" s="164"/>
      <c r="F21" s="166"/>
      <c r="G21" s="166"/>
      <c r="H21" s="167"/>
      <c r="I21" s="5" t="str">
        <f t="shared" si="1"/>
        <v>-</v>
      </c>
    </row>
    <row r="22" spans="1:12" ht="15" customHeight="1" x14ac:dyDescent="0.3">
      <c r="A22" s="145" t="s">
        <v>29</v>
      </c>
      <c r="B22" s="146"/>
      <c r="C22" s="54"/>
      <c r="D22" s="54"/>
      <c r="E22" s="166"/>
      <c r="F22" s="166"/>
      <c r="G22" s="166"/>
      <c r="H22" s="167"/>
      <c r="I22" s="5" t="str">
        <f t="shared" si="1"/>
        <v>-</v>
      </c>
    </row>
    <row r="23" spans="1:12" x14ac:dyDescent="0.3">
      <c r="A23" s="145" t="s">
        <v>30</v>
      </c>
      <c r="B23" s="146"/>
      <c r="C23" s="54"/>
      <c r="D23" s="54"/>
      <c r="E23" s="166"/>
      <c r="F23" s="166"/>
      <c r="G23" s="166"/>
      <c r="H23" s="167"/>
      <c r="I23" s="5" t="str">
        <f t="shared" si="1"/>
        <v>-</v>
      </c>
    </row>
    <row r="24" spans="1:12" x14ac:dyDescent="0.3">
      <c r="A24" s="145" t="s">
        <v>31</v>
      </c>
      <c r="B24" s="146"/>
      <c r="C24" s="54"/>
      <c r="D24" s="54"/>
      <c r="E24" s="166"/>
      <c r="F24" s="166"/>
      <c r="G24" s="166"/>
      <c r="H24" s="167"/>
      <c r="I24" s="5" t="str">
        <f t="shared" si="1"/>
        <v>-</v>
      </c>
    </row>
    <row r="25" spans="1:12" x14ac:dyDescent="0.3">
      <c r="A25" s="145" t="s">
        <v>32</v>
      </c>
      <c r="B25" s="146"/>
      <c r="C25" s="54"/>
      <c r="D25" s="54"/>
      <c r="E25" s="166"/>
      <c r="F25" s="166"/>
      <c r="G25" s="166"/>
      <c r="H25" s="167"/>
      <c r="I25" s="5" t="str">
        <f t="shared" si="1"/>
        <v>-</v>
      </c>
    </row>
    <row r="26" spans="1:12" x14ac:dyDescent="0.3">
      <c r="A26" s="145" t="s">
        <v>33</v>
      </c>
      <c r="B26" s="146"/>
      <c r="C26" s="54"/>
      <c r="D26" s="54"/>
      <c r="E26" s="166"/>
      <c r="F26" s="166"/>
      <c r="G26" s="166"/>
      <c r="H26" s="167"/>
      <c r="I26" s="5" t="str">
        <f t="shared" si="1"/>
        <v>-</v>
      </c>
    </row>
    <row r="27" spans="1:12" x14ac:dyDescent="0.3">
      <c r="A27" s="145" t="s">
        <v>34</v>
      </c>
      <c r="B27" s="146"/>
      <c r="C27" s="54"/>
      <c r="D27" s="54"/>
      <c r="E27" s="166"/>
      <c r="F27" s="166"/>
      <c r="G27" s="166"/>
      <c r="H27" s="167"/>
      <c r="I27" s="5" t="str">
        <f t="shared" si="1"/>
        <v>-</v>
      </c>
    </row>
    <row r="28" spans="1:12" x14ac:dyDescent="0.3">
      <c r="A28" s="145" t="s">
        <v>35</v>
      </c>
      <c r="B28" s="146"/>
      <c r="C28" s="54"/>
      <c r="D28" s="54"/>
      <c r="E28" s="166"/>
      <c r="F28" s="166"/>
      <c r="G28" s="166"/>
      <c r="H28" s="167"/>
      <c r="I28" s="5" t="str">
        <f t="shared" si="1"/>
        <v>-</v>
      </c>
    </row>
    <row r="29" spans="1:12" ht="15" customHeight="1" x14ac:dyDescent="0.3">
      <c r="A29" s="151" t="s">
        <v>24</v>
      </c>
      <c r="B29" s="152"/>
      <c r="C29" s="46">
        <f>SUM(C19:C28)</f>
        <v>0</v>
      </c>
      <c r="D29" s="46"/>
      <c r="E29" s="153"/>
      <c r="F29" s="153"/>
      <c r="G29" s="153"/>
      <c r="H29" s="154"/>
    </row>
    <row r="30" spans="1:12" x14ac:dyDescent="0.3">
      <c r="A30" s="155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7"/>
    </row>
    <row r="31" spans="1:12" x14ac:dyDescent="0.3">
      <c r="A31" s="145" t="s">
        <v>37</v>
      </c>
      <c r="B31" s="146"/>
      <c r="C31" s="54"/>
      <c r="D31" s="54"/>
      <c r="E31" s="166"/>
      <c r="F31" s="166"/>
      <c r="G31" s="166"/>
      <c r="H31" s="167"/>
      <c r="I31" s="5" t="str">
        <f>IF(COUNT(C31:D31)=1,"--&gt;Verifique! Item QTDE ou PESO em branco","-")</f>
        <v>-</v>
      </c>
    </row>
    <row r="32" spans="1:12" x14ac:dyDescent="0.3">
      <c r="A32" s="145" t="s">
        <v>38</v>
      </c>
      <c r="B32" s="146"/>
      <c r="C32" s="54"/>
      <c r="D32" s="54"/>
      <c r="E32" s="166"/>
      <c r="F32" s="166"/>
      <c r="G32" s="166"/>
      <c r="H32" s="167"/>
      <c r="I32" s="5" t="str">
        <f>IF(COUNT(C32:D32)=1,"--&gt;Verifique! Item QTDE ou PESO em branco","-")</f>
        <v>-</v>
      </c>
    </row>
    <row r="33" spans="1:9" ht="14.7" customHeight="1" x14ac:dyDescent="0.3">
      <c r="A33" s="145" t="s">
        <v>39</v>
      </c>
      <c r="B33" s="146"/>
      <c r="C33" s="54"/>
      <c r="D33" s="54"/>
      <c r="E33" s="166"/>
      <c r="F33" s="166"/>
      <c r="G33" s="166"/>
      <c r="H33" s="167"/>
      <c r="I33" s="5" t="str">
        <f>IF(COUNT(C33:D33)=1,"--&gt;Verifique! Item QTDE ou PESO em branco","-")</f>
        <v>-</v>
      </c>
    </row>
    <row r="34" spans="1:9" ht="14.7" customHeight="1" x14ac:dyDescent="0.3">
      <c r="A34" s="145" t="s">
        <v>40</v>
      </c>
      <c r="B34" s="146"/>
      <c r="C34" s="54"/>
      <c r="D34" s="54"/>
      <c r="E34" s="166"/>
      <c r="F34" s="166"/>
      <c r="G34" s="166"/>
      <c r="H34" s="167"/>
      <c r="I34" s="5" t="str">
        <f>IF(COUNT(C34:D34)=1,"--&gt;Verifique! Item QTDE ou PESO em branco","-")</f>
        <v>-</v>
      </c>
    </row>
    <row r="35" spans="1:9" ht="15" customHeight="1" x14ac:dyDescent="0.3">
      <c r="A35" s="151" t="s">
        <v>24</v>
      </c>
      <c r="B35" s="152"/>
      <c r="C35" s="46">
        <f>SUM(C31:C34)</f>
        <v>0</v>
      </c>
      <c r="D35" s="46"/>
      <c r="E35" s="153"/>
      <c r="F35" s="153"/>
      <c r="G35" s="153"/>
      <c r="H35" s="154"/>
    </row>
    <row r="36" spans="1:9" ht="16.2" customHeight="1" x14ac:dyDescent="0.3">
      <c r="A36" s="155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7"/>
    </row>
    <row r="37" spans="1:9" ht="14.7" customHeight="1" x14ac:dyDescent="0.3">
      <c r="A37" s="145" t="s">
        <v>42</v>
      </c>
      <c r="B37" s="146"/>
      <c r="C37" s="54"/>
      <c r="D37" s="54"/>
      <c r="E37" s="166"/>
      <c r="F37" s="166"/>
      <c r="G37" s="166"/>
      <c r="H37" s="167"/>
      <c r="I37" s="5" t="str">
        <f>IF(COUNT(C37:D37)=1,"--&gt;Verifique! Item QTDE ou PESO em branco","-")</f>
        <v>-</v>
      </c>
    </row>
    <row r="38" spans="1:9" ht="14.7" customHeight="1" x14ac:dyDescent="0.3">
      <c r="A38" s="145" t="s">
        <v>43</v>
      </c>
      <c r="B38" s="146"/>
      <c r="C38" s="54"/>
      <c r="D38" s="54"/>
      <c r="E38" s="166"/>
      <c r="F38" s="166"/>
      <c r="G38" s="166"/>
      <c r="H38" s="167"/>
      <c r="I38" s="5" t="str">
        <f>IF(COUNT(C38:D38)=1,"--&gt;Verifique! Item QTDE ou PESO em branco","-")</f>
        <v>-</v>
      </c>
    </row>
    <row r="39" spans="1:9" ht="81" customHeight="1" x14ac:dyDescent="0.3">
      <c r="A39" s="192" t="s">
        <v>44</v>
      </c>
      <c r="B39" s="189"/>
      <c r="C39" s="54"/>
      <c r="D39" s="54"/>
      <c r="E39" s="158"/>
      <c r="F39" s="158"/>
      <c r="G39" s="158"/>
      <c r="H39" s="159"/>
      <c r="I39" s="5" t="str">
        <f>IF(COUNT(C39:D39)=1,"--&gt;Verifique! Item QTDE ou PESO em branco","-")</f>
        <v>-</v>
      </c>
    </row>
    <row r="40" spans="1:9" ht="15" customHeight="1" x14ac:dyDescent="0.3">
      <c r="A40" s="151" t="s">
        <v>24</v>
      </c>
      <c r="B40" s="152"/>
      <c r="C40" s="46">
        <f>SUM(C37:C39)</f>
        <v>0</v>
      </c>
      <c r="D40" s="46"/>
      <c r="E40" s="153"/>
      <c r="F40" s="153"/>
      <c r="G40" s="153"/>
      <c r="H40" s="154"/>
    </row>
    <row r="41" spans="1:9" ht="15" customHeight="1" x14ac:dyDescent="0.3">
      <c r="A41" s="155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7"/>
    </row>
    <row r="42" spans="1:9" ht="14.7" customHeight="1" x14ac:dyDescent="0.3">
      <c r="A42" s="145" t="s">
        <v>46</v>
      </c>
      <c r="B42" s="146"/>
      <c r="C42" s="55"/>
      <c r="D42" s="55"/>
      <c r="E42" s="166"/>
      <c r="F42" s="166"/>
      <c r="G42" s="166"/>
      <c r="H42" s="167"/>
      <c r="I42" s="5" t="str">
        <f>IF(COUNT(C42:D42)=1,"--&gt;Verifique! Item QTDE ou PESO em branco","-")</f>
        <v>-</v>
      </c>
    </row>
    <row r="43" spans="1:9" ht="14.7" customHeight="1" x14ac:dyDescent="0.3">
      <c r="A43" s="145" t="s">
        <v>47</v>
      </c>
      <c r="B43" s="146"/>
      <c r="C43" s="54"/>
      <c r="D43" s="54"/>
      <c r="E43" s="166"/>
      <c r="F43" s="166"/>
      <c r="G43" s="166"/>
      <c r="H43" s="167"/>
      <c r="I43" s="5" t="str">
        <f>IF(COUNT(C43:D43)=1,"--&gt;Verifique! Item QTDE ou PESO em branco","-")</f>
        <v>-</v>
      </c>
    </row>
    <row r="44" spans="1:9" ht="14.7" customHeight="1" x14ac:dyDescent="0.3">
      <c r="A44" s="145" t="s">
        <v>48</v>
      </c>
      <c r="B44" s="146"/>
      <c r="C44" s="54"/>
      <c r="D44" s="54"/>
      <c r="E44" s="166"/>
      <c r="F44" s="166"/>
      <c r="G44" s="166"/>
      <c r="H44" s="167"/>
      <c r="I44" s="5" t="str">
        <f>IF(COUNT(C44:D44)=1,"--&gt;Verifique! Item QTDE ou PESO em branco","-")</f>
        <v>-</v>
      </c>
    </row>
    <row r="45" spans="1:9" ht="15" customHeight="1" x14ac:dyDescent="0.3">
      <c r="A45" s="151" t="s">
        <v>24</v>
      </c>
      <c r="B45" s="152"/>
      <c r="C45" s="46">
        <f>SUM(C42:C44)</f>
        <v>0</v>
      </c>
      <c r="D45" s="46"/>
      <c r="E45" s="153"/>
      <c r="F45" s="153"/>
      <c r="G45" s="153"/>
      <c r="H45" s="154"/>
    </row>
    <row r="46" spans="1:9" ht="15" customHeight="1" x14ac:dyDescent="0.3">
      <c r="A46" s="155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7"/>
    </row>
    <row r="47" spans="1:9" ht="14.7" customHeight="1" x14ac:dyDescent="0.3">
      <c r="A47" s="145" t="s">
        <v>50</v>
      </c>
      <c r="B47" s="146"/>
      <c r="C47" s="56"/>
      <c r="D47" s="54"/>
      <c r="E47" s="166"/>
      <c r="F47" s="166"/>
      <c r="G47" s="166"/>
      <c r="H47" s="167"/>
      <c r="I47" s="5" t="str">
        <f>IF(COUNT(C47:D47)=1,"--&gt;Verifique! Item QTDE ou PESO em branco","-")</f>
        <v>-</v>
      </c>
    </row>
    <row r="48" spans="1:9" ht="14.7" customHeight="1" x14ac:dyDescent="0.3">
      <c r="A48" s="145" t="s">
        <v>51</v>
      </c>
      <c r="B48" s="146"/>
      <c r="C48" s="54"/>
      <c r="D48" s="54"/>
      <c r="E48" s="166"/>
      <c r="F48" s="166"/>
      <c r="G48" s="166"/>
      <c r="H48" s="167"/>
      <c r="I48" s="5" t="str">
        <f>IF(COUNT(C48:D48)=1,"--&gt;Verifique! Item QTDE ou PESO em branco","-")</f>
        <v>-</v>
      </c>
    </row>
    <row r="49" spans="1:9" ht="14.7" customHeight="1" x14ac:dyDescent="0.3">
      <c r="A49" s="145" t="s">
        <v>52</v>
      </c>
      <c r="B49" s="146"/>
      <c r="C49" s="54"/>
      <c r="D49" s="54"/>
      <c r="E49" s="166"/>
      <c r="F49" s="166"/>
      <c r="G49" s="166"/>
      <c r="H49" s="167"/>
      <c r="I49" s="5" t="str">
        <f>IF(COUNT(C49:D49)=1,"--&gt;Verifique! Item QTDE ou PESO em branco","-")</f>
        <v>-</v>
      </c>
    </row>
    <row r="50" spans="1:9" ht="15" customHeight="1" x14ac:dyDescent="0.3">
      <c r="A50" s="151" t="s">
        <v>24</v>
      </c>
      <c r="B50" s="152"/>
      <c r="C50" s="46">
        <f>SUM(C47:C49)</f>
        <v>0</v>
      </c>
      <c r="D50" s="46"/>
      <c r="E50" s="153"/>
      <c r="F50" s="153"/>
      <c r="G50" s="153"/>
      <c r="H50" s="154"/>
    </row>
    <row r="51" spans="1:9" ht="15" customHeight="1" x14ac:dyDescent="0.3">
      <c r="A51" s="100" t="s">
        <v>53</v>
      </c>
      <c r="B51" s="101"/>
      <c r="C51" s="101"/>
      <c r="D51" s="101"/>
      <c r="E51" s="101"/>
      <c r="F51" s="101"/>
      <c r="G51" s="101"/>
      <c r="H51" s="102"/>
    </row>
    <row r="52" spans="1:9" ht="14.7" customHeight="1" x14ac:dyDescent="0.3">
      <c r="A52" s="141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4"/>
    </row>
    <row r="53" spans="1:9" x14ac:dyDescent="0.3">
      <c r="A53" s="137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40"/>
    </row>
    <row r="54" spans="1:9" x14ac:dyDescent="0.3">
      <c r="A54" s="137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40"/>
    </row>
    <row r="55" spans="1:9" x14ac:dyDescent="0.3">
      <c r="A55" s="137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40"/>
    </row>
    <row r="56" spans="1:9" x14ac:dyDescent="0.3">
      <c r="A56" s="134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5"/>
    </row>
    <row r="57" spans="1:9" x14ac:dyDescent="0.3">
      <c r="A57" s="100" t="s">
        <v>58</v>
      </c>
      <c r="B57" s="101"/>
      <c r="C57" s="101"/>
      <c r="D57" s="101"/>
      <c r="E57" s="101"/>
      <c r="F57" s="101"/>
      <c r="G57" s="101"/>
      <c r="H57" s="102"/>
    </row>
    <row r="58" spans="1:9" x14ac:dyDescent="0.3">
      <c r="A58" s="121" t="s">
        <v>59</v>
      </c>
      <c r="B58" s="122"/>
      <c r="C58" s="122"/>
      <c r="D58" s="122"/>
      <c r="E58" s="122"/>
      <c r="F58" s="124">
        <f>C56</f>
        <v>0</v>
      </c>
      <c r="G58" s="124"/>
      <c r="H58" s="125"/>
    </row>
    <row r="59" spans="1:9" x14ac:dyDescent="0.3">
      <c r="A59" s="121" t="s">
        <v>60</v>
      </c>
      <c r="B59" s="122"/>
      <c r="C59" s="122"/>
      <c r="D59" s="122"/>
      <c r="E59" s="122"/>
      <c r="F59" s="123">
        <f>H5</f>
        <v>0</v>
      </c>
      <c r="G59" s="124"/>
      <c r="H59" s="125"/>
    </row>
    <row r="60" spans="1:9" x14ac:dyDescent="0.3">
      <c r="A60" s="126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2" t="s">
        <v>62</v>
      </c>
      <c r="B61" s="113"/>
      <c r="C61" s="113"/>
      <c r="D61" s="113"/>
      <c r="E61" s="113"/>
      <c r="F61" s="113"/>
      <c r="G61" s="113"/>
      <c r="H61" s="114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8" t="s">
        <v>64</v>
      </c>
      <c r="B63" s="129"/>
      <c r="C63" s="129"/>
      <c r="D63" s="129"/>
      <c r="E63" s="129"/>
      <c r="F63" s="129"/>
      <c r="G63" s="129"/>
      <c r="H63" s="130"/>
    </row>
    <row r="64" spans="1:9" x14ac:dyDescent="0.3">
      <c r="A64" s="103"/>
      <c r="B64" s="104"/>
      <c r="C64" s="104"/>
      <c r="D64" s="104"/>
      <c r="E64" s="104"/>
      <c r="F64" s="104"/>
      <c r="G64" s="104"/>
      <c r="H64" s="105"/>
    </row>
    <row r="65" spans="1:8" x14ac:dyDescent="0.3">
      <c r="A65" s="106"/>
      <c r="B65" s="107"/>
      <c r="C65" s="107"/>
      <c r="D65" s="107"/>
      <c r="E65" s="107"/>
      <c r="F65" s="107"/>
      <c r="G65" s="107"/>
      <c r="H65" s="108"/>
    </row>
    <row r="66" spans="1:8" x14ac:dyDescent="0.3">
      <c r="A66" s="106"/>
      <c r="B66" s="107"/>
      <c r="C66" s="107"/>
      <c r="D66" s="107"/>
      <c r="E66" s="107"/>
      <c r="F66" s="107"/>
      <c r="G66" s="107"/>
      <c r="H66" s="108"/>
    </row>
    <row r="67" spans="1:8" x14ac:dyDescent="0.3">
      <c r="A67" s="106"/>
      <c r="B67" s="107"/>
      <c r="C67" s="107"/>
      <c r="D67" s="107"/>
      <c r="E67" s="107"/>
      <c r="F67" s="107"/>
      <c r="G67" s="107"/>
      <c r="H67" s="108"/>
    </row>
    <row r="68" spans="1:8" x14ac:dyDescent="0.3">
      <c r="A68" s="131"/>
      <c r="B68" s="132"/>
      <c r="C68" s="132"/>
      <c r="D68" s="132"/>
      <c r="E68" s="132"/>
      <c r="F68" s="132"/>
      <c r="G68" s="132"/>
      <c r="H68" s="133"/>
    </row>
    <row r="69" spans="1:8" x14ac:dyDescent="0.3">
      <c r="A69" s="100" t="s">
        <v>65</v>
      </c>
      <c r="B69" s="101"/>
      <c r="C69" s="101"/>
      <c r="D69" s="101"/>
      <c r="E69" s="101"/>
      <c r="F69" s="101"/>
      <c r="G69" s="101"/>
      <c r="H69" s="102"/>
    </row>
    <row r="70" spans="1:8" x14ac:dyDescent="0.3">
      <c r="A70" s="103"/>
      <c r="B70" s="104"/>
      <c r="C70" s="104"/>
      <c r="D70" s="104"/>
      <c r="E70" s="104"/>
      <c r="F70" s="104"/>
      <c r="G70" s="104"/>
      <c r="H70" s="105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08" priority="12" operator="containsText" text="Verifique">
      <formula>NOT(ISERROR(SEARCH("Verifique",I8)))</formula>
    </cfRule>
  </conditionalFormatting>
  <conditionalFormatting sqref="I19:I28">
    <cfRule type="containsText" dxfId="107" priority="5" operator="containsText" text="Verifique">
      <formula>NOT(ISERROR(SEARCH("Verifique",I19)))</formula>
    </cfRule>
  </conditionalFormatting>
  <conditionalFormatting sqref="I31:I34">
    <cfRule type="containsText" dxfId="106" priority="4" operator="containsText" text="Verifique">
      <formula>NOT(ISERROR(SEARCH("Verifique",I31)))</formula>
    </cfRule>
  </conditionalFormatting>
  <conditionalFormatting sqref="I37:I39">
    <cfRule type="containsText" dxfId="105" priority="3" operator="containsText" text="Verifique">
      <formula>NOT(ISERROR(SEARCH("Verifique",I37)))</formula>
    </cfRule>
  </conditionalFormatting>
  <conditionalFormatting sqref="I42:I44">
    <cfRule type="containsText" dxfId="104" priority="2" operator="containsText" text="Verifique">
      <formula>NOT(ISERROR(SEARCH("Verifique",I42)))</formula>
    </cfRule>
  </conditionalFormatting>
  <conditionalFormatting sqref="I47:I49">
    <cfRule type="containsText" dxfId="103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89B6C921-FD3E-4164-9450-5ADD799CB657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tabColor theme="0" tint="-0.499984740745262"/>
  </sheetPr>
  <dimension ref="A1:L79"/>
  <sheetViews>
    <sheetView showGridLines="0" view="pageBreakPreview" zoomScaleNormal="110" zoomScaleSheetLayoutView="100" workbookViewId="0">
      <selection activeCell="C8" sqref="C8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102" priority="12" operator="containsText" text="Verifique">
      <formula>NOT(ISERROR(SEARCH("Verifique",I8)))</formula>
    </cfRule>
  </conditionalFormatting>
  <conditionalFormatting sqref="I19:I28">
    <cfRule type="containsText" dxfId="101" priority="5" operator="containsText" text="Verifique">
      <formula>NOT(ISERROR(SEARCH("Verifique",I19)))</formula>
    </cfRule>
  </conditionalFormatting>
  <conditionalFormatting sqref="I31:I34">
    <cfRule type="containsText" dxfId="100" priority="4" operator="containsText" text="Verifique">
      <formula>NOT(ISERROR(SEARCH("Verifique",I31)))</formula>
    </cfRule>
  </conditionalFormatting>
  <conditionalFormatting sqref="I37:I39">
    <cfRule type="containsText" dxfId="99" priority="3" operator="containsText" text="Verifique">
      <formula>NOT(ISERROR(SEARCH("Verifique",I37)))</formula>
    </cfRule>
  </conditionalFormatting>
  <conditionalFormatting sqref="I42:I44">
    <cfRule type="containsText" dxfId="98" priority="2" operator="containsText" text="Verifique">
      <formula>NOT(ISERROR(SEARCH("Verifique",I42)))</formula>
    </cfRule>
  </conditionalFormatting>
  <conditionalFormatting sqref="I47:I49">
    <cfRule type="containsText" dxfId="97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9451D4EB-FE5C-4DEC-AD2B-EAB0DE3DD171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tabColor theme="0" tint="-0.499984740745262"/>
  </sheetPr>
  <dimension ref="A1:L79"/>
  <sheetViews>
    <sheetView showGridLines="0" view="pageBreakPreview" zoomScaleNormal="110" zoomScaleSheetLayoutView="100" workbookViewId="0">
      <selection activeCell="E12" sqref="E12:H12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96" priority="12" operator="containsText" text="Verifique">
      <formula>NOT(ISERROR(SEARCH("Verifique",I8)))</formula>
    </cfRule>
  </conditionalFormatting>
  <conditionalFormatting sqref="I19:I28">
    <cfRule type="containsText" dxfId="95" priority="5" operator="containsText" text="Verifique">
      <formula>NOT(ISERROR(SEARCH("Verifique",I19)))</formula>
    </cfRule>
  </conditionalFormatting>
  <conditionalFormatting sqref="I31:I34">
    <cfRule type="containsText" dxfId="94" priority="4" operator="containsText" text="Verifique">
      <formula>NOT(ISERROR(SEARCH("Verifique",I31)))</formula>
    </cfRule>
  </conditionalFormatting>
  <conditionalFormatting sqref="I37:I39">
    <cfRule type="containsText" dxfId="93" priority="3" operator="containsText" text="Verifique">
      <formula>NOT(ISERROR(SEARCH("Verifique",I37)))</formula>
    </cfRule>
  </conditionalFormatting>
  <conditionalFormatting sqref="I42:I44">
    <cfRule type="containsText" dxfId="92" priority="2" operator="containsText" text="Verifique">
      <formula>NOT(ISERROR(SEARCH("Verifique",I42)))</formula>
    </cfRule>
  </conditionalFormatting>
  <conditionalFormatting sqref="I47:I49">
    <cfRule type="containsText" dxfId="91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93414039-6041-471D-A223-3FF7194DF70C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tabColor theme="0" tint="-0.499984740745262"/>
  </sheetPr>
  <dimension ref="A1:L79"/>
  <sheetViews>
    <sheetView showGridLines="0" view="pageBreakPreview" zoomScaleNormal="110" zoomScaleSheetLayoutView="100" workbookViewId="0">
      <selection activeCell="E15" sqref="E15:H15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90" priority="12" operator="containsText" text="Verifique">
      <formula>NOT(ISERROR(SEARCH("Verifique",I8)))</formula>
    </cfRule>
  </conditionalFormatting>
  <conditionalFormatting sqref="I19:I28">
    <cfRule type="containsText" dxfId="89" priority="5" operator="containsText" text="Verifique">
      <formula>NOT(ISERROR(SEARCH("Verifique",I19)))</formula>
    </cfRule>
  </conditionalFormatting>
  <conditionalFormatting sqref="I31:I34">
    <cfRule type="containsText" dxfId="88" priority="4" operator="containsText" text="Verifique">
      <formula>NOT(ISERROR(SEARCH("Verifique",I31)))</formula>
    </cfRule>
  </conditionalFormatting>
  <conditionalFormatting sqref="I37:I39">
    <cfRule type="containsText" dxfId="87" priority="3" operator="containsText" text="Verifique">
      <formula>NOT(ISERROR(SEARCH("Verifique",I37)))</formula>
    </cfRule>
  </conditionalFormatting>
  <conditionalFormatting sqref="I42:I44">
    <cfRule type="containsText" dxfId="86" priority="2" operator="containsText" text="Verifique">
      <formula>NOT(ISERROR(SEARCH("Verifique",I42)))</formula>
    </cfRule>
  </conditionalFormatting>
  <conditionalFormatting sqref="I47:I49">
    <cfRule type="containsText" dxfId="85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40E6BE54-5F13-411D-9864-2CCDDBCF6159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>
    <tabColor theme="0" tint="-0.499984740745262"/>
  </sheetPr>
  <dimension ref="A1:L79"/>
  <sheetViews>
    <sheetView showGridLines="0" tabSelected="1" view="pageBreakPreview" zoomScaleNormal="110" zoomScaleSheetLayoutView="100" workbookViewId="0">
      <selection activeCell="E16" sqref="E16:H16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84" priority="12" operator="containsText" text="Verifique">
      <formula>NOT(ISERROR(SEARCH("Verifique",I8)))</formula>
    </cfRule>
  </conditionalFormatting>
  <conditionalFormatting sqref="I19:I28">
    <cfRule type="containsText" dxfId="83" priority="5" operator="containsText" text="Verifique">
      <formula>NOT(ISERROR(SEARCH("Verifique",I19)))</formula>
    </cfRule>
  </conditionalFormatting>
  <conditionalFormatting sqref="I31:I34">
    <cfRule type="containsText" dxfId="82" priority="4" operator="containsText" text="Verifique">
      <formula>NOT(ISERROR(SEARCH("Verifique",I31)))</formula>
    </cfRule>
  </conditionalFormatting>
  <conditionalFormatting sqref="I37:I39">
    <cfRule type="containsText" dxfId="81" priority="3" operator="containsText" text="Verifique">
      <formula>NOT(ISERROR(SEARCH("Verifique",I37)))</formula>
    </cfRule>
  </conditionalFormatting>
  <conditionalFormatting sqref="I42:I44">
    <cfRule type="containsText" dxfId="80" priority="2" operator="containsText" text="Verifique">
      <formula>NOT(ISERROR(SEARCH("Verifique",I42)))</formula>
    </cfRule>
  </conditionalFormatting>
  <conditionalFormatting sqref="I47:I49">
    <cfRule type="containsText" dxfId="79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12C0B493-54EC-4A33-8384-1E3905B1F067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>
    <tabColor theme="0" tint="-0.499984740745262"/>
  </sheetPr>
  <dimension ref="A1:L79"/>
  <sheetViews>
    <sheetView showGridLines="0" view="pageBreakPreview" zoomScaleNormal="110" zoomScaleSheetLayoutView="100" workbookViewId="0">
      <selection activeCell="E13" sqref="E13:H13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78" priority="12" operator="containsText" text="Verifique">
      <formula>NOT(ISERROR(SEARCH("Verifique",I8)))</formula>
    </cfRule>
  </conditionalFormatting>
  <conditionalFormatting sqref="I19:I28">
    <cfRule type="containsText" dxfId="77" priority="5" operator="containsText" text="Verifique">
      <formula>NOT(ISERROR(SEARCH("Verifique",I19)))</formula>
    </cfRule>
  </conditionalFormatting>
  <conditionalFormatting sqref="I31:I34">
    <cfRule type="containsText" dxfId="76" priority="4" operator="containsText" text="Verifique">
      <formula>NOT(ISERROR(SEARCH("Verifique",I31)))</formula>
    </cfRule>
  </conditionalFormatting>
  <conditionalFormatting sqref="I37:I39">
    <cfRule type="containsText" dxfId="75" priority="3" operator="containsText" text="Verifique">
      <formula>NOT(ISERROR(SEARCH("Verifique",I37)))</formula>
    </cfRule>
  </conditionalFormatting>
  <conditionalFormatting sqref="I42:I44">
    <cfRule type="containsText" dxfId="74" priority="2" operator="containsText" text="Verifique">
      <formula>NOT(ISERROR(SEARCH("Verifique",I42)))</formula>
    </cfRule>
  </conditionalFormatting>
  <conditionalFormatting sqref="I47:I49">
    <cfRule type="containsText" dxfId="73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E8841C2A-333C-40CA-9575-4D2846A28CCD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>
    <tabColor theme="8" tint="0.39997558519241921"/>
  </sheetPr>
  <dimension ref="A1:L79"/>
  <sheetViews>
    <sheetView showGridLines="0" view="pageBreakPreview" zoomScaleNormal="110" zoomScaleSheetLayoutView="100" workbookViewId="0">
      <selection activeCell="E12" sqref="E12:H12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73" t="s">
        <v>0</v>
      </c>
      <c r="B1" s="174"/>
      <c r="C1" s="174"/>
      <c r="D1" s="174"/>
      <c r="E1" s="174"/>
      <c r="F1" s="174"/>
      <c r="G1" s="174"/>
      <c r="H1" s="175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0" t="s">
        <v>10</v>
      </c>
      <c r="B6" s="101"/>
      <c r="C6" s="101"/>
      <c r="D6" s="101"/>
      <c r="E6" s="101"/>
      <c r="F6" s="101"/>
      <c r="G6" s="101"/>
      <c r="H6" s="102"/>
    </row>
    <row r="7" spans="1:9" ht="15" customHeight="1" x14ac:dyDescent="0.3">
      <c r="A7" s="155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7"/>
    </row>
    <row r="8" spans="1:9" ht="14.7" customHeight="1" x14ac:dyDescent="0.3">
      <c r="A8" s="145" t="s">
        <v>15</v>
      </c>
      <c r="B8" s="146"/>
      <c r="C8" s="54"/>
      <c r="D8" s="54"/>
      <c r="E8" s="162"/>
      <c r="F8" s="162"/>
      <c r="G8" s="162"/>
      <c r="H8" s="163"/>
      <c r="I8" s="5" t="str">
        <f>IF(COUNT(C8:D8)=1,"--&gt;Verifique! Item QTDE ou PESO em branco","-")</f>
        <v>-</v>
      </c>
    </row>
    <row r="9" spans="1:9" ht="14.7" customHeight="1" x14ac:dyDescent="0.3">
      <c r="A9" s="145" t="s">
        <v>16</v>
      </c>
      <c r="B9" s="146"/>
      <c r="C9" s="54"/>
      <c r="D9" s="54"/>
      <c r="E9" s="166"/>
      <c r="F9" s="166"/>
      <c r="G9" s="166"/>
      <c r="H9" s="167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5" t="s">
        <v>17</v>
      </c>
      <c r="B10" s="146"/>
      <c r="C10" s="54"/>
      <c r="D10" s="54"/>
      <c r="E10" s="166"/>
      <c r="F10" s="166"/>
      <c r="G10" s="166"/>
      <c r="H10" s="167"/>
      <c r="I10" s="5" t="str">
        <f t="shared" si="0"/>
        <v>-</v>
      </c>
    </row>
    <row r="11" spans="1:9" ht="15" customHeight="1" x14ac:dyDescent="0.3">
      <c r="A11" s="145" t="s">
        <v>18</v>
      </c>
      <c r="B11" s="146"/>
      <c r="C11" s="54"/>
      <c r="D11" s="54"/>
      <c r="E11" s="166"/>
      <c r="F11" s="166"/>
      <c r="G11" s="166"/>
      <c r="H11" s="167"/>
      <c r="I11" s="5" t="str">
        <f t="shared" si="0"/>
        <v>-</v>
      </c>
    </row>
    <row r="12" spans="1:9" ht="15" customHeight="1" x14ac:dyDescent="0.3">
      <c r="A12" s="145" t="s">
        <v>19</v>
      </c>
      <c r="B12" s="146"/>
      <c r="C12" s="54"/>
      <c r="D12" s="54"/>
      <c r="E12" s="166"/>
      <c r="F12" s="166"/>
      <c r="G12" s="166"/>
      <c r="H12" s="167"/>
      <c r="I12" s="5" t="str">
        <f t="shared" si="0"/>
        <v>-</v>
      </c>
    </row>
    <row r="13" spans="1:9" ht="15" customHeight="1" x14ac:dyDescent="0.3">
      <c r="A13" s="145" t="s">
        <v>20</v>
      </c>
      <c r="B13" s="146"/>
      <c r="C13" s="54"/>
      <c r="D13" s="54"/>
      <c r="E13" s="166"/>
      <c r="F13" s="166"/>
      <c r="G13" s="166"/>
      <c r="H13" s="167"/>
      <c r="I13" s="5" t="str">
        <f t="shared" si="0"/>
        <v>-</v>
      </c>
    </row>
    <row r="14" spans="1:9" ht="15" customHeight="1" x14ac:dyDescent="0.3">
      <c r="A14" s="145" t="s">
        <v>21</v>
      </c>
      <c r="B14" s="146"/>
      <c r="C14" s="54"/>
      <c r="D14" s="54"/>
      <c r="E14" s="166"/>
      <c r="F14" s="166"/>
      <c r="G14" s="166"/>
      <c r="H14" s="167"/>
      <c r="I14" s="5" t="str">
        <f t="shared" si="0"/>
        <v>-</v>
      </c>
    </row>
    <row r="15" spans="1:9" ht="15" customHeight="1" x14ac:dyDescent="0.3">
      <c r="A15" s="145" t="s">
        <v>22</v>
      </c>
      <c r="B15" s="146"/>
      <c r="C15" s="54"/>
      <c r="D15" s="54"/>
      <c r="E15" s="166"/>
      <c r="F15" s="166"/>
      <c r="G15" s="166"/>
      <c r="H15" s="167"/>
      <c r="I15" s="5" t="str">
        <f t="shared" si="0"/>
        <v>-</v>
      </c>
    </row>
    <row r="16" spans="1:9" ht="15" customHeight="1" x14ac:dyDescent="0.3">
      <c r="A16" s="145" t="s">
        <v>23</v>
      </c>
      <c r="B16" s="146"/>
      <c r="C16" s="54"/>
      <c r="D16" s="54"/>
      <c r="E16" s="166"/>
      <c r="F16" s="166"/>
      <c r="G16" s="166"/>
      <c r="H16" s="167"/>
      <c r="I16" s="5" t="str">
        <f t="shared" si="0"/>
        <v>-</v>
      </c>
    </row>
    <row r="17" spans="1:12" ht="15" customHeight="1" x14ac:dyDescent="0.3">
      <c r="A17" s="151" t="s">
        <v>24</v>
      </c>
      <c r="B17" s="152"/>
      <c r="C17" s="45">
        <f>SUM(C8:C16)</f>
        <v>0</v>
      </c>
      <c r="D17" s="45"/>
      <c r="E17" s="153"/>
      <c r="F17" s="153"/>
      <c r="G17" s="153"/>
      <c r="H17" s="154"/>
      <c r="I17" s="3"/>
      <c r="J17" s="3"/>
      <c r="K17" s="1"/>
      <c r="L17" s="1"/>
    </row>
    <row r="18" spans="1:12" ht="15" customHeight="1" x14ac:dyDescent="0.3">
      <c r="A18" s="155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7"/>
      <c r="I18" s="4"/>
      <c r="J18" s="4"/>
      <c r="K18" s="2"/>
      <c r="L18" s="2"/>
    </row>
    <row r="19" spans="1:12" ht="14.7" customHeight="1" x14ac:dyDescent="0.3">
      <c r="A19" s="145" t="s">
        <v>26</v>
      </c>
      <c r="B19" s="146"/>
      <c r="C19" s="54"/>
      <c r="D19" s="54"/>
      <c r="E19" s="166"/>
      <c r="F19" s="166"/>
      <c r="G19" s="166"/>
      <c r="H19" s="167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5" t="s">
        <v>27</v>
      </c>
      <c r="B20" s="146"/>
      <c r="C20" s="54"/>
      <c r="D20" s="54"/>
      <c r="E20" s="166"/>
      <c r="F20" s="166"/>
      <c r="G20" s="166"/>
      <c r="H20" s="167"/>
      <c r="I20" s="5" t="str">
        <f t="shared" si="1"/>
        <v>-</v>
      </c>
      <c r="J20" s="4"/>
      <c r="K20" s="2"/>
      <c r="L20" s="2"/>
    </row>
    <row r="21" spans="1:12" x14ac:dyDescent="0.3">
      <c r="A21" s="145" t="s">
        <v>28</v>
      </c>
      <c r="B21" s="146"/>
      <c r="C21" s="54"/>
      <c r="D21" s="54"/>
      <c r="E21" s="166"/>
      <c r="F21" s="166"/>
      <c r="G21" s="166"/>
      <c r="H21" s="167"/>
      <c r="I21" s="5" t="str">
        <f t="shared" si="1"/>
        <v>-</v>
      </c>
    </row>
    <row r="22" spans="1:12" ht="15" customHeight="1" x14ac:dyDescent="0.3">
      <c r="A22" s="145" t="s">
        <v>29</v>
      </c>
      <c r="B22" s="146"/>
      <c r="C22" s="54"/>
      <c r="D22" s="54"/>
      <c r="E22" s="166"/>
      <c r="F22" s="166"/>
      <c r="G22" s="166"/>
      <c r="H22" s="167"/>
      <c r="I22" s="5" t="str">
        <f t="shared" si="1"/>
        <v>-</v>
      </c>
    </row>
    <row r="23" spans="1:12" x14ac:dyDescent="0.3">
      <c r="A23" s="145" t="s">
        <v>30</v>
      </c>
      <c r="B23" s="146"/>
      <c r="C23" s="54"/>
      <c r="D23" s="54"/>
      <c r="E23" s="166"/>
      <c r="F23" s="166"/>
      <c r="G23" s="166"/>
      <c r="H23" s="167"/>
      <c r="I23" s="5" t="str">
        <f t="shared" si="1"/>
        <v>-</v>
      </c>
    </row>
    <row r="24" spans="1:12" x14ac:dyDescent="0.3">
      <c r="A24" s="145" t="s">
        <v>31</v>
      </c>
      <c r="B24" s="146"/>
      <c r="C24" s="54"/>
      <c r="D24" s="54"/>
      <c r="E24" s="166"/>
      <c r="F24" s="166"/>
      <c r="G24" s="166"/>
      <c r="H24" s="167"/>
      <c r="I24" s="5" t="str">
        <f t="shared" si="1"/>
        <v>-</v>
      </c>
    </row>
    <row r="25" spans="1:12" x14ac:dyDescent="0.3">
      <c r="A25" s="145" t="s">
        <v>32</v>
      </c>
      <c r="B25" s="146"/>
      <c r="C25" s="54"/>
      <c r="D25" s="54"/>
      <c r="E25" s="166"/>
      <c r="F25" s="166"/>
      <c r="G25" s="166"/>
      <c r="H25" s="167"/>
      <c r="I25" s="5" t="str">
        <f t="shared" si="1"/>
        <v>-</v>
      </c>
    </row>
    <row r="26" spans="1:12" x14ac:dyDescent="0.3">
      <c r="A26" s="145" t="s">
        <v>33</v>
      </c>
      <c r="B26" s="146"/>
      <c r="C26" s="54"/>
      <c r="D26" s="54"/>
      <c r="E26" s="166"/>
      <c r="F26" s="166"/>
      <c r="G26" s="166"/>
      <c r="H26" s="167"/>
      <c r="I26" s="5" t="str">
        <f t="shared" si="1"/>
        <v>-</v>
      </c>
    </row>
    <row r="27" spans="1:12" x14ac:dyDescent="0.3">
      <c r="A27" s="145" t="s">
        <v>34</v>
      </c>
      <c r="B27" s="146"/>
      <c r="C27" s="54"/>
      <c r="D27" s="54"/>
      <c r="E27" s="166"/>
      <c r="F27" s="166"/>
      <c r="G27" s="166"/>
      <c r="H27" s="167"/>
      <c r="I27" s="5" t="str">
        <f t="shared" si="1"/>
        <v>-</v>
      </c>
    </row>
    <row r="28" spans="1:12" x14ac:dyDescent="0.3">
      <c r="A28" s="145" t="s">
        <v>35</v>
      </c>
      <c r="B28" s="146"/>
      <c r="C28" s="54"/>
      <c r="D28" s="54"/>
      <c r="E28" s="166"/>
      <c r="F28" s="166"/>
      <c r="G28" s="166"/>
      <c r="H28" s="167"/>
      <c r="I28" s="5" t="str">
        <f t="shared" si="1"/>
        <v>-</v>
      </c>
    </row>
    <row r="29" spans="1:12" ht="15" customHeight="1" x14ac:dyDescent="0.3">
      <c r="A29" s="151" t="s">
        <v>24</v>
      </c>
      <c r="B29" s="152"/>
      <c r="C29" s="46">
        <f>SUM(C19:C28)</f>
        <v>0</v>
      </c>
      <c r="D29" s="46"/>
      <c r="E29" s="153"/>
      <c r="F29" s="153"/>
      <c r="G29" s="153"/>
      <c r="H29" s="154"/>
    </row>
    <row r="30" spans="1:12" x14ac:dyDescent="0.3">
      <c r="A30" s="155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7"/>
    </row>
    <row r="31" spans="1:12" x14ac:dyDescent="0.3">
      <c r="A31" s="145" t="s">
        <v>37</v>
      </c>
      <c r="B31" s="146"/>
      <c r="C31" s="54"/>
      <c r="D31" s="54"/>
      <c r="E31" s="166"/>
      <c r="F31" s="166"/>
      <c r="G31" s="166"/>
      <c r="H31" s="167"/>
      <c r="I31" s="5" t="str">
        <f>IF(COUNT(C31:D31)=1,"--&gt;Verifique! Item QTDE ou PESO em branco","-")</f>
        <v>-</v>
      </c>
    </row>
    <row r="32" spans="1:12" x14ac:dyDescent="0.3">
      <c r="A32" s="145" t="s">
        <v>38</v>
      </c>
      <c r="B32" s="146"/>
      <c r="C32" s="54"/>
      <c r="D32" s="54"/>
      <c r="E32" s="166"/>
      <c r="F32" s="166"/>
      <c r="G32" s="166"/>
      <c r="H32" s="167"/>
      <c r="I32" s="5" t="str">
        <f>IF(COUNT(C32:D32)=1,"--&gt;Verifique! Item QTDE ou PESO em branco","-")</f>
        <v>-</v>
      </c>
    </row>
    <row r="33" spans="1:9" ht="14.7" customHeight="1" x14ac:dyDescent="0.3">
      <c r="A33" s="145" t="s">
        <v>39</v>
      </c>
      <c r="B33" s="146"/>
      <c r="C33" s="54"/>
      <c r="D33" s="54"/>
      <c r="E33" s="166"/>
      <c r="F33" s="166"/>
      <c r="G33" s="166"/>
      <c r="H33" s="167"/>
      <c r="I33" s="5" t="str">
        <f>IF(COUNT(C33:D33)=1,"--&gt;Verifique! Item QTDE ou PESO em branco","-")</f>
        <v>-</v>
      </c>
    </row>
    <row r="34" spans="1:9" ht="14.7" customHeight="1" x14ac:dyDescent="0.3">
      <c r="A34" s="145" t="s">
        <v>40</v>
      </c>
      <c r="B34" s="146"/>
      <c r="C34" s="54"/>
      <c r="D34" s="54"/>
      <c r="E34" s="166"/>
      <c r="F34" s="166"/>
      <c r="G34" s="166"/>
      <c r="H34" s="167"/>
      <c r="I34" s="5" t="str">
        <f>IF(COUNT(C34:D34)=1,"--&gt;Verifique! Item QTDE ou PESO em branco","-")</f>
        <v>-</v>
      </c>
    </row>
    <row r="35" spans="1:9" ht="15" customHeight="1" x14ac:dyDescent="0.3">
      <c r="A35" s="151" t="s">
        <v>24</v>
      </c>
      <c r="B35" s="152"/>
      <c r="C35" s="46">
        <f>SUM(C31:C34)</f>
        <v>0</v>
      </c>
      <c r="D35" s="46"/>
      <c r="E35" s="153"/>
      <c r="F35" s="153"/>
      <c r="G35" s="153"/>
      <c r="H35" s="154"/>
    </row>
    <row r="36" spans="1:9" ht="16.2" customHeight="1" x14ac:dyDescent="0.3">
      <c r="A36" s="155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7"/>
    </row>
    <row r="37" spans="1:9" ht="14.7" customHeight="1" x14ac:dyDescent="0.3">
      <c r="A37" s="145" t="s">
        <v>42</v>
      </c>
      <c r="B37" s="146"/>
      <c r="C37" s="54"/>
      <c r="D37" s="54"/>
      <c r="E37" s="166"/>
      <c r="F37" s="166"/>
      <c r="G37" s="166"/>
      <c r="H37" s="167"/>
      <c r="I37" s="5" t="str">
        <f>IF(COUNT(C37:D37)=1,"--&gt;Verifique! Item QTDE ou PESO em branco","-")</f>
        <v>-</v>
      </c>
    </row>
    <row r="38" spans="1:9" ht="14.7" customHeight="1" x14ac:dyDescent="0.3">
      <c r="A38" s="145" t="s">
        <v>43</v>
      </c>
      <c r="B38" s="146"/>
      <c r="C38" s="54"/>
      <c r="D38" s="54"/>
      <c r="E38" s="166"/>
      <c r="F38" s="166"/>
      <c r="G38" s="166"/>
      <c r="H38" s="167"/>
      <c r="I38" s="5" t="str">
        <f>IF(COUNT(C38:D38)=1,"--&gt;Verifique! Item QTDE ou PESO em branco","-")</f>
        <v>-</v>
      </c>
    </row>
    <row r="39" spans="1:9" ht="15" customHeight="1" x14ac:dyDescent="0.3">
      <c r="A39" s="145" t="s">
        <v>44</v>
      </c>
      <c r="B39" s="146"/>
      <c r="C39" s="54"/>
      <c r="D39" s="54"/>
      <c r="E39" s="166"/>
      <c r="F39" s="166"/>
      <c r="G39" s="166"/>
      <c r="H39" s="167"/>
      <c r="I39" s="5" t="str">
        <f>IF(COUNT(C39:D39)=1,"--&gt;Verifique! Item QTDE ou PESO em branco","-")</f>
        <v>-</v>
      </c>
    </row>
    <row r="40" spans="1:9" ht="15" customHeight="1" x14ac:dyDescent="0.3">
      <c r="A40" s="151" t="s">
        <v>24</v>
      </c>
      <c r="B40" s="152"/>
      <c r="C40" s="46">
        <f>SUM(C37:C39)</f>
        <v>0</v>
      </c>
      <c r="D40" s="46"/>
      <c r="E40" s="153"/>
      <c r="F40" s="153"/>
      <c r="G40" s="153"/>
      <c r="H40" s="154"/>
    </row>
    <row r="41" spans="1:9" ht="15" customHeight="1" x14ac:dyDescent="0.3">
      <c r="A41" s="155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7"/>
    </row>
    <row r="42" spans="1:9" ht="14.7" customHeight="1" x14ac:dyDescent="0.3">
      <c r="A42" s="145" t="s">
        <v>46</v>
      </c>
      <c r="B42" s="146"/>
      <c r="C42" s="55"/>
      <c r="D42" s="55"/>
      <c r="E42" s="166"/>
      <c r="F42" s="166"/>
      <c r="G42" s="166"/>
      <c r="H42" s="167"/>
      <c r="I42" s="5" t="str">
        <f>IF(COUNT(C42:D42)=1,"--&gt;Verifique! Item QTDE ou PESO em branco","-")</f>
        <v>-</v>
      </c>
    </row>
    <row r="43" spans="1:9" ht="14.7" customHeight="1" x14ac:dyDescent="0.3">
      <c r="A43" s="145" t="s">
        <v>47</v>
      </c>
      <c r="B43" s="146"/>
      <c r="C43" s="54"/>
      <c r="D43" s="54"/>
      <c r="E43" s="166"/>
      <c r="F43" s="166"/>
      <c r="G43" s="166"/>
      <c r="H43" s="167"/>
      <c r="I43" s="5" t="str">
        <f>IF(COUNT(C43:D43)=1,"--&gt;Verifique! Item QTDE ou PESO em branco","-")</f>
        <v>-</v>
      </c>
    </row>
    <row r="44" spans="1:9" ht="14.7" customHeight="1" x14ac:dyDescent="0.3">
      <c r="A44" s="145" t="s">
        <v>48</v>
      </c>
      <c r="B44" s="146"/>
      <c r="C44" s="54"/>
      <c r="D44" s="54"/>
      <c r="E44" s="166"/>
      <c r="F44" s="166"/>
      <c r="G44" s="166"/>
      <c r="H44" s="167"/>
      <c r="I44" s="5" t="str">
        <f>IF(COUNT(C44:D44)=1,"--&gt;Verifique! Item QTDE ou PESO em branco","-")</f>
        <v>-</v>
      </c>
    </row>
    <row r="45" spans="1:9" ht="15" customHeight="1" x14ac:dyDescent="0.3">
      <c r="A45" s="151" t="s">
        <v>24</v>
      </c>
      <c r="B45" s="152"/>
      <c r="C45" s="46">
        <f>SUM(C42:C44)</f>
        <v>0</v>
      </c>
      <c r="D45" s="46"/>
      <c r="E45" s="153"/>
      <c r="F45" s="153"/>
      <c r="G45" s="153"/>
      <c r="H45" s="154"/>
    </row>
    <row r="46" spans="1:9" ht="15" customHeight="1" x14ac:dyDescent="0.3">
      <c r="A46" s="155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7"/>
    </row>
    <row r="47" spans="1:9" ht="14.7" customHeight="1" x14ac:dyDescent="0.3">
      <c r="A47" s="145" t="s">
        <v>50</v>
      </c>
      <c r="B47" s="146"/>
      <c r="C47" s="56"/>
      <c r="D47" s="54"/>
      <c r="E47" s="166"/>
      <c r="F47" s="166"/>
      <c r="G47" s="166"/>
      <c r="H47" s="167"/>
      <c r="I47" s="5" t="str">
        <f>IF(COUNT(C47:D47)=1,"--&gt;Verifique! Item QTDE ou PESO em branco","-")</f>
        <v>-</v>
      </c>
    </row>
    <row r="48" spans="1:9" ht="14.7" customHeight="1" x14ac:dyDescent="0.3">
      <c r="A48" s="145" t="s">
        <v>51</v>
      </c>
      <c r="B48" s="146"/>
      <c r="C48" s="54"/>
      <c r="D48" s="54"/>
      <c r="E48" s="166"/>
      <c r="F48" s="166"/>
      <c r="G48" s="166"/>
      <c r="H48" s="167"/>
      <c r="I48" s="5" t="str">
        <f>IF(COUNT(C48:D48)=1,"--&gt;Verifique! Item QTDE ou PESO em branco","-")</f>
        <v>-</v>
      </c>
    </row>
    <row r="49" spans="1:9" ht="14.7" customHeight="1" x14ac:dyDescent="0.3">
      <c r="A49" s="145" t="s">
        <v>52</v>
      </c>
      <c r="B49" s="146"/>
      <c r="C49" s="54"/>
      <c r="D49" s="54"/>
      <c r="E49" s="166"/>
      <c r="F49" s="166"/>
      <c r="G49" s="166"/>
      <c r="H49" s="167"/>
      <c r="I49" s="5" t="str">
        <f>IF(COUNT(C49:D49)=1,"--&gt;Verifique! Item QTDE ou PESO em branco","-")</f>
        <v>-</v>
      </c>
    </row>
    <row r="50" spans="1:9" ht="15" customHeight="1" x14ac:dyDescent="0.3">
      <c r="A50" s="151" t="s">
        <v>24</v>
      </c>
      <c r="B50" s="152"/>
      <c r="C50" s="46">
        <f>SUM(C47:C49)</f>
        <v>0</v>
      </c>
      <c r="D50" s="46"/>
      <c r="E50" s="153"/>
      <c r="F50" s="153"/>
      <c r="G50" s="153"/>
      <c r="H50" s="154"/>
    </row>
    <row r="51" spans="1:9" ht="15" customHeight="1" x14ac:dyDescent="0.3">
      <c r="A51" s="100" t="s">
        <v>53</v>
      </c>
      <c r="B51" s="101"/>
      <c r="C51" s="101"/>
      <c r="D51" s="101"/>
      <c r="E51" s="101"/>
      <c r="F51" s="101"/>
      <c r="G51" s="101"/>
      <c r="H51" s="102"/>
    </row>
    <row r="52" spans="1:9" ht="14.7" customHeight="1" x14ac:dyDescent="0.3">
      <c r="A52" s="141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4"/>
    </row>
    <row r="53" spans="1:9" x14ac:dyDescent="0.3">
      <c r="A53" s="137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40"/>
    </row>
    <row r="54" spans="1:9" x14ac:dyDescent="0.3">
      <c r="A54" s="137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40"/>
    </row>
    <row r="55" spans="1:9" x14ac:dyDescent="0.3">
      <c r="A55" s="137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40"/>
    </row>
    <row r="56" spans="1:9" x14ac:dyDescent="0.3">
      <c r="A56" s="134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5"/>
    </row>
    <row r="57" spans="1:9" x14ac:dyDescent="0.3">
      <c r="A57" s="100" t="s">
        <v>58</v>
      </c>
      <c r="B57" s="101"/>
      <c r="C57" s="101"/>
      <c r="D57" s="101"/>
      <c r="E57" s="101"/>
      <c r="F57" s="101"/>
      <c r="G57" s="101"/>
      <c r="H57" s="102"/>
    </row>
    <row r="58" spans="1:9" x14ac:dyDescent="0.3">
      <c r="A58" s="121" t="s">
        <v>59</v>
      </c>
      <c r="B58" s="122"/>
      <c r="C58" s="122"/>
      <c r="D58" s="122"/>
      <c r="E58" s="122"/>
      <c r="F58" s="124">
        <f>C56</f>
        <v>0</v>
      </c>
      <c r="G58" s="124"/>
      <c r="H58" s="125"/>
    </row>
    <row r="59" spans="1:9" x14ac:dyDescent="0.3">
      <c r="A59" s="121" t="s">
        <v>60</v>
      </c>
      <c r="B59" s="122"/>
      <c r="C59" s="122"/>
      <c r="D59" s="122"/>
      <c r="E59" s="122"/>
      <c r="F59" s="123">
        <f>H5</f>
        <v>0</v>
      </c>
      <c r="G59" s="124"/>
      <c r="H59" s="125"/>
    </row>
    <row r="60" spans="1:9" x14ac:dyDescent="0.3">
      <c r="A60" s="126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2" t="s">
        <v>62</v>
      </c>
      <c r="B61" s="113"/>
      <c r="C61" s="113"/>
      <c r="D61" s="113"/>
      <c r="E61" s="113"/>
      <c r="F61" s="113"/>
      <c r="G61" s="113"/>
      <c r="H61" s="114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8" t="s">
        <v>64</v>
      </c>
      <c r="B63" s="129"/>
      <c r="C63" s="129"/>
      <c r="D63" s="129"/>
      <c r="E63" s="129"/>
      <c r="F63" s="129"/>
      <c r="G63" s="129"/>
      <c r="H63" s="130"/>
    </row>
    <row r="64" spans="1:9" x14ac:dyDescent="0.3">
      <c r="A64" s="103"/>
      <c r="B64" s="104"/>
      <c r="C64" s="104"/>
      <c r="D64" s="104"/>
      <c r="E64" s="104"/>
      <c r="F64" s="104"/>
      <c r="G64" s="104"/>
      <c r="H64" s="105"/>
    </row>
    <row r="65" spans="1:8" x14ac:dyDescent="0.3">
      <c r="A65" s="106"/>
      <c r="B65" s="107"/>
      <c r="C65" s="107"/>
      <c r="D65" s="107"/>
      <c r="E65" s="107"/>
      <c r="F65" s="107"/>
      <c r="G65" s="107"/>
      <c r="H65" s="108"/>
    </row>
    <row r="66" spans="1:8" x14ac:dyDescent="0.3">
      <c r="A66" s="106"/>
      <c r="B66" s="107"/>
      <c r="C66" s="107"/>
      <c r="D66" s="107"/>
      <c r="E66" s="107"/>
      <c r="F66" s="107"/>
      <c r="G66" s="107"/>
      <c r="H66" s="108"/>
    </row>
    <row r="67" spans="1:8" x14ac:dyDescent="0.3">
      <c r="A67" s="106"/>
      <c r="B67" s="107"/>
      <c r="C67" s="107"/>
      <c r="D67" s="107"/>
      <c r="E67" s="107"/>
      <c r="F67" s="107"/>
      <c r="G67" s="107"/>
      <c r="H67" s="108"/>
    </row>
    <row r="68" spans="1:8" x14ac:dyDescent="0.3">
      <c r="A68" s="131"/>
      <c r="B68" s="132"/>
      <c r="C68" s="132"/>
      <c r="D68" s="132"/>
      <c r="E68" s="132"/>
      <c r="F68" s="132"/>
      <c r="G68" s="132"/>
      <c r="H68" s="133"/>
    </row>
    <row r="69" spans="1:8" x14ac:dyDescent="0.3">
      <c r="A69" s="100" t="s">
        <v>65</v>
      </c>
      <c r="B69" s="101"/>
      <c r="C69" s="101"/>
      <c r="D69" s="101"/>
      <c r="E69" s="101"/>
      <c r="F69" s="101"/>
      <c r="G69" s="101"/>
      <c r="H69" s="102"/>
    </row>
    <row r="70" spans="1:8" x14ac:dyDescent="0.3">
      <c r="A70" s="103"/>
      <c r="B70" s="104"/>
      <c r="C70" s="104"/>
      <c r="D70" s="104"/>
      <c r="E70" s="104"/>
      <c r="F70" s="104"/>
      <c r="G70" s="104"/>
      <c r="H70" s="105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72" priority="12" operator="containsText" text="Verifique">
      <formula>NOT(ISERROR(SEARCH("Verifique",I8)))</formula>
    </cfRule>
  </conditionalFormatting>
  <conditionalFormatting sqref="I19:I28">
    <cfRule type="containsText" dxfId="71" priority="5" operator="containsText" text="Verifique">
      <formula>NOT(ISERROR(SEARCH("Verifique",I19)))</formula>
    </cfRule>
  </conditionalFormatting>
  <conditionalFormatting sqref="I31:I34">
    <cfRule type="containsText" dxfId="70" priority="4" operator="containsText" text="Verifique">
      <formula>NOT(ISERROR(SEARCH("Verifique",I31)))</formula>
    </cfRule>
  </conditionalFormatting>
  <conditionalFormatting sqref="I37:I39">
    <cfRule type="containsText" dxfId="69" priority="3" operator="containsText" text="Verifique">
      <formula>NOT(ISERROR(SEARCH("Verifique",I37)))</formula>
    </cfRule>
  </conditionalFormatting>
  <conditionalFormatting sqref="I42:I44">
    <cfRule type="containsText" dxfId="68" priority="2" operator="containsText" text="Verifique">
      <formula>NOT(ISERROR(SEARCH("Verifique",I42)))</formula>
    </cfRule>
  </conditionalFormatting>
  <conditionalFormatting sqref="I47:I49">
    <cfRule type="containsText" dxfId="67" priority="1" operator="containsText" text="Verifique">
      <formula>NOT(ISERROR(SEARCH("Verifique",I47)))</formula>
    </cfRule>
  </conditionalFormatting>
  <dataValidations disablePrompts="1" count="1">
    <dataValidation type="list" allowBlank="1" showInputMessage="1" showErrorMessage="1" sqref="D8:D16 D47:D49 D42:D44 D37:D39 D31:D34 D19:D28" xr:uid="{AC87551A-084A-40F5-A441-73347956A146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0">
    <tabColor theme="8" tint="0.39997558519241921"/>
  </sheetPr>
  <dimension ref="A1:L79"/>
  <sheetViews>
    <sheetView showGridLines="0" view="pageBreakPreview" zoomScaleNormal="110" zoomScaleSheetLayoutView="100" workbookViewId="0">
      <selection activeCell="E11" sqref="E11:H11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66" priority="12" operator="containsText" text="Verifique">
      <formula>NOT(ISERROR(SEARCH("Verifique",I8)))</formula>
    </cfRule>
  </conditionalFormatting>
  <conditionalFormatting sqref="I19:I28">
    <cfRule type="containsText" dxfId="65" priority="5" operator="containsText" text="Verifique">
      <formula>NOT(ISERROR(SEARCH("Verifique",I19)))</formula>
    </cfRule>
  </conditionalFormatting>
  <conditionalFormatting sqref="I31:I34">
    <cfRule type="containsText" dxfId="64" priority="4" operator="containsText" text="Verifique">
      <formula>NOT(ISERROR(SEARCH("Verifique",I31)))</formula>
    </cfRule>
  </conditionalFormatting>
  <conditionalFormatting sqref="I37:I39">
    <cfRule type="containsText" dxfId="63" priority="3" operator="containsText" text="Verifique">
      <formula>NOT(ISERROR(SEARCH("Verifique",I37)))</formula>
    </cfRule>
  </conditionalFormatting>
  <conditionalFormatting sqref="I42:I44">
    <cfRule type="containsText" dxfId="62" priority="2" operator="containsText" text="Verifique">
      <formula>NOT(ISERROR(SEARCH("Verifique",I42)))</formula>
    </cfRule>
  </conditionalFormatting>
  <conditionalFormatting sqref="I47:I49">
    <cfRule type="containsText" dxfId="61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C8B7DE05-5601-4278-8FEF-83DE08B67B9C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1">
    <tabColor theme="8" tint="0.39997558519241921"/>
  </sheetPr>
  <dimension ref="A1:L79"/>
  <sheetViews>
    <sheetView showGridLines="0" view="pageBreakPreview" zoomScaleNormal="110" zoomScaleSheetLayoutView="100" workbookViewId="0">
      <selection activeCell="E13" sqref="E13:H13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60" priority="12" operator="containsText" text="Verifique">
      <formula>NOT(ISERROR(SEARCH("Verifique",I8)))</formula>
    </cfRule>
  </conditionalFormatting>
  <conditionalFormatting sqref="I19:I28">
    <cfRule type="containsText" dxfId="59" priority="5" operator="containsText" text="Verifique">
      <formula>NOT(ISERROR(SEARCH("Verifique",I19)))</formula>
    </cfRule>
  </conditionalFormatting>
  <conditionalFormatting sqref="I31:I34">
    <cfRule type="containsText" dxfId="58" priority="4" operator="containsText" text="Verifique">
      <formula>NOT(ISERROR(SEARCH("Verifique",I31)))</formula>
    </cfRule>
  </conditionalFormatting>
  <conditionalFormatting sqref="I37:I39">
    <cfRule type="containsText" dxfId="57" priority="3" operator="containsText" text="Verifique">
      <formula>NOT(ISERROR(SEARCH("Verifique",I37)))</formula>
    </cfRule>
  </conditionalFormatting>
  <conditionalFormatting sqref="I42:I44">
    <cfRule type="containsText" dxfId="56" priority="2" operator="containsText" text="Verifique">
      <formula>NOT(ISERROR(SEARCH("Verifique",I42)))</formula>
    </cfRule>
  </conditionalFormatting>
  <conditionalFormatting sqref="I47:I49">
    <cfRule type="containsText" dxfId="55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E4689D5C-23DC-4E01-A96B-1A44FCD2FAE2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2">
    <tabColor theme="8" tint="0.39997558519241921"/>
  </sheetPr>
  <dimension ref="A1:L79"/>
  <sheetViews>
    <sheetView showGridLines="0" view="pageBreakPreview" zoomScaleNormal="110" zoomScaleSheetLayoutView="100" workbookViewId="0">
      <selection activeCell="E15" sqref="E15:H15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54" priority="12" operator="containsText" text="Verifique">
      <formula>NOT(ISERROR(SEARCH("Verifique",I8)))</formula>
    </cfRule>
  </conditionalFormatting>
  <conditionalFormatting sqref="I19:I28">
    <cfRule type="containsText" dxfId="53" priority="5" operator="containsText" text="Verifique">
      <formula>NOT(ISERROR(SEARCH("Verifique",I19)))</formula>
    </cfRule>
  </conditionalFormatting>
  <conditionalFormatting sqref="I31:I34">
    <cfRule type="containsText" dxfId="52" priority="4" operator="containsText" text="Verifique">
      <formula>NOT(ISERROR(SEARCH("Verifique",I31)))</formula>
    </cfRule>
  </conditionalFormatting>
  <conditionalFormatting sqref="I37:I39">
    <cfRule type="containsText" dxfId="51" priority="3" operator="containsText" text="Verifique">
      <formula>NOT(ISERROR(SEARCH("Verifique",I37)))</formula>
    </cfRule>
  </conditionalFormatting>
  <conditionalFormatting sqref="I42:I44">
    <cfRule type="containsText" dxfId="50" priority="2" operator="containsText" text="Verifique">
      <formula>NOT(ISERROR(SEARCH("Verifique",I42)))</formula>
    </cfRule>
  </conditionalFormatting>
  <conditionalFormatting sqref="I47:I49">
    <cfRule type="containsText" dxfId="49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A51737D1-7255-4F63-A410-7821EF1BA3B0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3">
    <tabColor theme="8" tint="0.39997558519241921"/>
  </sheetPr>
  <dimension ref="A1:L79"/>
  <sheetViews>
    <sheetView showGridLines="0" view="pageBreakPreview" zoomScaleNormal="110" zoomScaleSheetLayoutView="100" workbookViewId="0">
      <selection activeCell="E12" sqref="E12:H12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48" priority="12" operator="containsText" text="Verifique">
      <formula>NOT(ISERROR(SEARCH("Verifique",I8)))</formula>
    </cfRule>
  </conditionalFormatting>
  <conditionalFormatting sqref="I19:I28">
    <cfRule type="containsText" dxfId="47" priority="5" operator="containsText" text="Verifique">
      <formula>NOT(ISERROR(SEARCH("Verifique",I19)))</formula>
    </cfRule>
  </conditionalFormatting>
  <conditionalFormatting sqref="I31:I34">
    <cfRule type="containsText" dxfId="46" priority="4" operator="containsText" text="Verifique">
      <formula>NOT(ISERROR(SEARCH("Verifique",I31)))</formula>
    </cfRule>
  </conditionalFormatting>
  <conditionalFormatting sqref="I37:I39">
    <cfRule type="containsText" dxfId="45" priority="3" operator="containsText" text="Verifique">
      <formula>NOT(ISERROR(SEARCH("Verifique",I37)))</formula>
    </cfRule>
  </conditionalFormatting>
  <conditionalFormatting sqref="I42:I44">
    <cfRule type="containsText" dxfId="44" priority="2" operator="containsText" text="Verifique">
      <formula>NOT(ISERROR(SEARCH("Verifique",I42)))</formula>
    </cfRule>
  </conditionalFormatting>
  <conditionalFormatting sqref="I47:I49">
    <cfRule type="containsText" dxfId="43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81F1719A-0581-42B1-969C-5A1AB0B11292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4">
    <tabColor theme="8" tint="0.39997558519241921"/>
  </sheetPr>
  <dimension ref="A1:L79"/>
  <sheetViews>
    <sheetView showGridLines="0" view="pageBreakPreview" zoomScaleNormal="110" zoomScaleSheetLayoutView="100" workbookViewId="0">
      <selection activeCell="E18" sqref="E18:H18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</mergeCells>
  <conditionalFormatting sqref="I8:I16">
    <cfRule type="containsText" dxfId="42" priority="12" operator="containsText" text="Verifique">
      <formula>NOT(ISERROR(SEARCH("Verifique",I8)))</formula>
    </cfRule>
  </conditionalFormatting>
  <conditionalFormatting sqref="I19:I28">
    <cfRule type="containsText" dxfId="41" priority="5" operator="containsText" text="Verifique">
      <formula>NOT(ISERROR(SEARCH("Verifique",I19)))</formula>
    </cfRule>
  </conditionalFormatting>
  <conditionalFormatting sqref="I31:I34">
    <cfRule type="containsText" dxfId="40" priority="4" operator="containsText" text="Verifique">
      <formula>NOT(ISERROR(SEARCH("Verifique",I31)))</formula>
    </cfRule>
  </conditionalFormatting>
  <conditionalFormatting sqref="I37:I39">
    <cfRule type="containsText" dxfId="39" priority="3" operator="containsText" text="Verifique">
      <formula>NOT(ISERROR(SEARCH("Verifique",I37)))</formula>
    </cfRule>
  </conditionalFormatting>
  <conditionalFormatting sqref="I42:I44">
    <cfRule type="containsText" dxfId="38" priority="2" operator="containsText" text="Verifique">
      <formula>NOT(ISERROR(SEARCH("Verifique",I42)))</formula>
    </cfRule>
  </conditionalFormatting>
  <conditionalFormatting sqref="I47:I49">
    <cfRule type="containsText" dxfId="37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A1691683-2278-4B81-9FF5-00264D6F84DC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8">
    <tabColor rgb="FF002060"/>
  </sheetPr>
  <dimension ref="A1:L79"/>
  <sheetViews>
    <sheetView showGridLines="0" view="pageBreakPreview" zoomScaleNormal="110" zoomScaleSheetLayoutView="104" workbookViewId="0">
      <selection activeCell="E12" sqref="E12:H12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10" ht="26.7" customHeight="1" x14ac:dyDescent="0.3">
      <c r="A1" s="173" t="s">
        <v>0</v>
      </c>
      <c r="B1" s="174"/>
      <c r="C1" s="174"/>
      <c r="D1" s="174"/>
      <c r="E1" s="174"/>
      <c r="F1" s="174"/>
      <c r="G1" s="174"/>
      <c r="H1" s="175"/>
    </row>
    <row r="2" spans="1:10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10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93" t="s">
        <v>67</v>
      </c>
      <c r="G3" s="193"/>
      <c r="H3" s="194"/>
      <c r="I3" s="195" t="s">
        <v>68</v>
      </c>
      <c r="J3" s="195"/>
    </row>
    <row r="4" spans="1:10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  <c r="I4" s="195"/>
      <c r="J4" s="195"/>
    </row>
    <row r="5" spans="1:10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8"/>
      <c r="I5" s="195"/>
      <c r="J5" s="195"/>
    </row>
    <row r="6" spans="1:10" x14ac:dyDescent="0.3">
      <c r="A6" s="100" t="s">
        <v>10</v>
      </c>
      <c r="B6" s="101"/>
      <c r="C6" s="101"/>
      <c r="D6" s="101"/>
      <c r="E6" s="101"/>
      <c r="F6" s="101"/>
      <c r="G6" s="101"/>
      <c r="H6" s="102"/>
      <c r="I6" s="195"/>
      <c r="J6" s="195"/>
    </row>
    <row r="7" spans="1:10" ht="15" customHeight="1" x14ac:dyDescent="0.3">
      <c r="A7" s="155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7"/>
    </row>
    <row r="8" spans="1:10" ht="14.7" customHeight="1" x14ac:dyDescent="0.3">
      <c r="A8" s="145" t="s">
        <v>15</v>
      </c>
      <c r="B8" s="146"/>
      <c r="C8" s="54"/>
      <c r="D8" s="54"/>
      <c r="E8" s="162"/>
      <c r="F8" s="162"/>
      <c r="G8" s="162"/>
      <c r="H8" s="163"/>
      <c r="I8" s="5" t="str">
        <f>IF(COUNT(C8:D8)=1,"--&gt;Verifique! Item QTDE ou PESO em branco","-")</f>
        <v>-</v>
      </c>
    </row>
    <row r="9" spans="1:10" ht="14.7" customHeight="1" x14ac:dyDescent="0.3">
      <c r="A9" s="145" t="s">
        <v>16</v>
      </c>
      <c r="B9" s="146"/>
      <c r="C9" s="54"/>
      <c r="D9" s="54"/>
      <c r="E9" s="166"/>
      <c r="F9" s="166"/>
      <c r="G9" s="166"/>
      <c r="H9" s="167"/>
      <c r="I9" s="5" t="str">
        <f t="shared" ref="I9:I16" si="0">IF(COUNT(C9:D9)=1,"--&gt;Verifique! Item QTDE ou PESO em branco","-")</f>
        <v>-</v>
      </c>
    </row>
    <row r="10" spans="1:10" ht="15" customHeight="1" x14ac:dyDescent="0.3">
      <c r="A10" s="145" t="s">
        <v>17</v>
      </c>
      <c r="B10" s="146"/>
      <c r="C10" s="54"/>
      <c r="D10" s="54"/>
      <c r="E10" s="166"/>
      <c r="F10" s="166"/>
      <c r="G10" s="166"/>
      <c r="H10" s="167"/>
      <c r="I10" s="5" t="str">
        <f t="shared" si="0"/>
        <v>-</v>
      </c>
    </row>
    <row r="11" spans="1:10" ht="15" customHeight="1" x14ac:dyDescent="0.3">
      <c r="A11" s="145" t="s">
        <v>18</v>
      </c>
      <c r="B11" s="146"/>
      <c r="C11" s="54"/>
      <c r="D11" s="54"/>
      <c r="E11" s="166"/>
      <c r="F11" s="166"/>
      <c r="G11" s="166"/>
      <c r="H11" s="167"/>
      <c r="I11" s="5" t="str">
        <f t="shared" si="0"/>
        <v>-</v>
      </c>
    </row>
    <row r="12" spans="1:10" ht="15" customHeight="1" x14ac:dyDescent="0.3">
      <c r="A12" s="145" t="s">
        <v>19</v>
      </c>
      <c r="B12" s="146"/>
      <c r="C12" s="54"/>
      <c r="D12" s="54"/>
      <c r="E12" s="166"/>
      <c r="F12" s="166"/>
      <c r="G12" s="166"/>
      <c r="H12" s="167"/>
      <c r="I12" s="5" t="str">
        <f t="shared" si="0"/>
        <v>-</v>
      </c>
    </row>
    <row r="13" spans="1:10" ht="15" customHeight="1" x14ac:dyDescent="0.3">
      <c r="A13" s="145" t="s">
        <v>20</v>
      </c>
      <c r="B13" s="146"/>
      <c r="C13" s="54"/>
      <c r="D13" s="54"/>
      <c r="E13" s="166"/>
      <c r="F13" s="166"/>
      <c r="G13" s="166"/>
      <c r="H13" s="167"/>
      <c r="I13" s="5" t="str">
        <f t="shared" si="0"/>
        <v>-</v>
      </c>
    </row>
    <row r="14" spans="1:10" ht="15" customHeight="1" x14ac:dyDescent="0.3">
      <c r="A14" s="145" t="s">
        <v>21</v>
      </c>
      <c r="B14" s="146"/>
      <c r="C14" s="54"/>
      <c r="D14" s="54"/>
      <c r="E14" s="166"/>
      <c r="F14" s="166"/>
      <c r="G14" s="166"/>
      <c r="H14" s="167"/>
      <c r="I14" s="5" t="str">
        <f t="shared" si="0"/>
        <v>-</v>
      </c>
    </row>
    <row r="15" spans="1:10" ht="15" customHeight="1" x14ac:dyDescent="0.3">
      <c r="A15" s="145" t="s">
        <v>22</v>
      </c>
      <c r="B15" s="146"/>
      <c r="C15" s="54"/>
      <c r="D15" s="54"/>
      <c r="E15" s="166"/>
      <c r="F15" s="166"/>
      <c r="G15" s="166"/>
      <c r="H15" s="167"/>
      <c r="I15" s="5" t="str">
        <f t="shared" si="0"/>
        <v>-</v>
      </c>
    </row>
    <row r="16" spans="1:10" ht="15" customHeight="1" x14ac:dyDescent="0.3">
      <c r="A16" s="145" t="s">
        <v>23</v>
      </c>
      <c r="B16" s="146"/>
      <c r="C16" s="54"/>
      <c r="D16" s="54"/>
      <c r="E16" s="166"/>
      <c r="F16" s="166"/>
      <c r="G16" s="166"/>
      <c r="H16" s="167"/>
      <c r="I16" s="5" t="str">
        <f t="shared" si="0"/>
        <v>-</v>
      </c>
    </row>
    <row r="17" spans="1:12" ht="15" customHeight="1" x14ac:dyDescent="0.3">
      <c r="A17" s="151" t="s">
        <v>24</v>
      </c>
      <c r="B17" s="152"/>
      <c r="C17" s="45">
        <f>SUM(C8:C16)</f>
        <v>0</v>
      </c>
      <c r="D17" s="45"/>
      <c r="E17" s="153"/>
      <c r="F17" s="153"/>
      <c r="G17" s="153"/>
      <c r="H17" s="154"/>
      <c r="I17" s="3"/>
      <c r="J17" s="3"/>
      <c r="K17" s="1"/>
      <c r="L17" s="1"/>
    </row>
    <row r="18" spans="1:12" ht="15" customHeight="1" x14ac:dyDescent="0.3">
      <c r="A18" s="155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7"/>
      <c r="I18" s="4"/>
      <c r="J18" s="4"/>
      <c r="K18" s="2"/>
      <c r="L18" s="2"/>
    </row>
    <row r="19" spans="1:12" ht="14.7" customHeight="1" x14ac:dyDescent="0.3">
      <c r="A19" s="145" t="s">
        <v>26</v>
      </c>
      <c r="B19" s="146"/>
      <c r="C19" s="54"/>
      <c r="D19" s="54"/>
      <c r="E19" s="166"/>
      <c r="F19" s="166"/>
      <c r="G19" s="166"/>
      <c r="H19" s="167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5" t="s">
        <v>27</v>
      </c>
      <c r="B20" s="146"/>
      <c r="C20" s="54"/>
      <c r="D20" s="54"/>
      <c r="E20" s="166"/>
      <c r="F20" s="166"/>
      <c r="G20" s="166"/>
      <c r="H20" s="167"/>
      <c r="I20" s="5" t="str">
        <f t="shared" si="1"/>
        <v>-</v>
      </c>
      <c r="J20" s="4"/>
      <c r="K20" s="2"/>
      <c r="L20" s="2"/>
    </row>
    <row r="21" spans="1:12" x14ac:dyDescent="0.3">
      <c r="A21" s="145" t="s">
        <v>28</v>
      </c>
      <c r="B21" s="146"/>
      <c r="C21" s="54"/>
      <c r="D21" s="54"/>
      <c r="E21" s="166"/>
      <c r="F21" s="166"/>
      <c r="G21" s="166"/>
      <c r="H21" s="167"/>
      <c r="I21" s="5" t="str">
        <f t="shared" si="1"/>
        <v>-</v>
      </c>
    </row>
    <row r="22" spans="1:12" ht="15" customHeight="1" x14ac:dyDescent="0.3">
      <c r="A22" s="145" t="s">
        <v>29</v>
      </c>
      <c r="B22" s="146"/>
      <c r="C22" s="54"/>
      <c r="D22" s="54"/>
      <c r="E22" s="166"/>
      <c r="F22" s="166"/>
      <c r="G22" s="166"/>
      <c r="H22" s="167"/>
      <c r="I22" s="5" t="str">
        <f t="shared" si="1"/>
        <v>-</v>
      </c>
    </row>
    <row r="23" spans="1:12" x14ac:dyDescent="0.3">
      <c r="A23" s="145" t="s">
        <v>30</v>
      </c>
      <c r="B23" s="146"/>
      <c r="C23" s="54"/>
      <c r="D23" s="54"/>
      <c r="E23" s="166"/>
      <c r="F23" s="166"/>
      <c r="G23" s="166"/>
      <c r="H23" s="167"/>
      <c r="I23" s="5" t="str">
        <f t="shared" si="1"/>
        <v>-</v>
      </c>
    </row>
    <row r="24" spans="1:12" x14ac:dyDescent="0.3">
      <c r="A24" s="145" t="s">
        <v>31</v>
      </c>
      <c r="B24" s="146"/>
      <c r="C24" s="54"/>
      <c r="D24" s="54"/>
      <c r="E24" s="166"/>
      <c r="F24" s="166"/>
      <c r="G24" s="166"/>
      <c r="H24" s="167"/>
      <c r="I24" s="5" t="str">
        <f t="shared" si="1"/>
        <v>-</v>
      </c>
    </row>
    <row r="25" spans="1:12" x14ac:dyDescent="0.3">
      <c r="A25" s="145" t="s">
        <v>32</v>
      </c>
      <c r="B25" s="146"/>
      <c r="C25" s="54"/>
      <c r="D25" s="54"/>
      <c r="E25" s="166"/>
      <c r="F25" s="166"/>
      <c r="G25" s="166"/>
      <c r="H25" s="167"/>
      <c r="I25" s="5" t="str">
        <f t="shared" si="1"/>
        <v>-</v>
      </c>
    </row>
    <row r="26" spans="1:12" x14ac:dyDescent="0.3">
      <c r="A26" s="145" t="s">
        <v>33</v>
      </c>
      <c r="B26" s="146"/>
      <c r="C26" s="54"/>
      <c r="D26" s="54"/>
      <c r="E26" s="166"/>
      <c r="F26" s="166"/>
      <c r="G26" s="166"/>
      <c r="H26" s="167"/>
      <c r="I26" s="5" t="str">
        <f t="shared" si="1"/>
        <v>-</v>
      </c>
    </row>
    <row r="27" spans="1:12" x14ac:dyDescent="0.3">
      <c r="A27" s="145" t="s">
        <v>34</v>
      </c>
      <c r="B27" s="146"/>
      <c r="C27" s="54"/>
      <c r="D27" s="54"/>
      <c r="E27" s="166"/>
      <c r="F27" s="166"/>
      <c r="G27" s="166"/>
      <c r="H27" s="167"/>
      <c r="I27" s="5" t="str">
        <f t="shared" si="1"/>
        <v>-</v>
      </c>
    </row>
    <row r="28" spans="1:12" x14ac:dyDescent="0.3">
      <c r="A28" s="145" t="s">
        <v>35</v>
      </c>
      <c r="B28" s="146"/>
      <c r="C28" s="54"/>
      <c r="D28" s="54"/>
      <c r="E28" s="166"/>
      <c r="F28" s="166"/>
      <c r="G28" s="166"/>
      <c r="H28" s="167"/>
      <c r="I28" s="5" t="str">
        <f t="shared" si="1"/>
        <v>-</v>
      </c>
    </row>
    <row r="29" spans="1:12" ht="15" customHeight="1" x14ac:dyDescent="0.3">
      <c r="A29" s="151" t="s">
        <v>24</v>
      </c>
      <c r="B29" s="152"/>
      <c r="C29" s="46">
        <f>SUM(C19:C28)</f>
        <v>0</v>
      </c>
      <c r="D29" s="46"/>
      <c r="E29" s="153"/>
      <c r="F29" s="153"/>
      <c r="G29" s="153"/>
      <c r="H29" s="154"/>
    </row>
    <row r="30" spans="1:12" x14ac:dyDescent="0.3">
      <c r="A30" s="155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7"/>
    </row>
    <row r="31" spans="1:12" x14ac:dyDescent="0.3">
      <c r="A31" s="145" t="s">
        <v>37</v>
      </c>
      <c r="B31" s="146"/>
      <c r="C31" s="54"/>
      <c r="D31" s="54"/>
      <c r="E31" s="166"/>
      <c r="F31" s="166"/>
      <c r="G31" s="166"/>
      <c r="H31" s="167"/>
      <c r="I31" s="5" t="str">
        <f>IF(COUNT(C31:D31)=1,"--&gt;Verifique! Item QTDE ou PESO em branco","-")</f>
        <v>-</v>
      </c>
    </row>
    <row r="32" spans="1:12" x14ac:dyDescent="0.3">
      <c r="A32" s="145" t="s">
        <v>38</v>
      </c>
      <c r="B32" s="146"/>
      <c r="C32" s="54"/>
      <c r="D32" s="54"/>
      <c r="E32" s="166"/>
      <c r="F32" s="166"/>
      <c r="G32" s="166"/>
      <c r="H32" s="167"/>
      <c r="I32" s="5" t="str">
        <f>IF(COUNT(C32:D32)=1,"--&gt;Verifique! Item QTDE ou PESO em branco","-")</f>
        <v>-</v>
      </c>
    </row>
    <row r="33" spans="1:9" ht="14.7" customHeight="1" x14ac:dyDescent="0.3">
      <c r="A33" s="145" t="s">
        <v>39</v>
      </c>
      <c r="B33" s="146"/>
      <c r="C33" s="54"/>
      <c r="D33" s="54"/>
      <c r="E33" s="166"/>
      <c r="F33" s="166"/>
      <c r="G33" s="166"/>
      <c r="H33" s="167"/>
      <c r="I33" s="5" t="str">
        <f>IF(COUNT(C33:D33)=1,"--&gt;Verifique! Item QTDE ou PESO em branco","-")</f>
        <v>-</v>
      </c>
    </row>
    <row r="34" spans="1:9" ht="14.7" customHeight="1" x14ac:dyDescent="0.3">
      <c r="A34" s="145" t="s">
        <v>40</v>
      </c>
      <c r="B34" s="146"/>
      <c r="C34" s="54"/>
      <c r="D34" s="54"/>
      <c r="E34" s="166"/>
      <c r="F34" s="166"/>
      <c r="G34" s="166"/>
      <c r="H34" s="167"/>
      <c r="I34" s="5" t="str">
        <f>IF(COUNT(C34:D34)=1,"--&gt;Verifique! Item QTDE ou PESO em branco","-")</f>
        <v>-</v>
      </c>
    </row>
    <row r="35" spans="1:9" ht="15" customHeight="1" x14ac:dyDescent="0.3">
      <c r="A35" s="151" t="s">
        <v>24</v>
      </c>
      <c r="B35" s="152"/>
      <c r="C35" s="46">
        <f>SUM(C31:C34)</f>
        <v>0</v>
      </c>
      <c r="D35" s="46"/>
      <c r="E35" s="153"/>
      <c r="F35" s="153"/>
      <c r="G35" s="153"/>
      <c r="H35" s="154"/>
    </row>
    <row r="36" spans="1:9" ht="16.2" customHeight="1" x14ac:dyDescent="0.3">
      <c r="A36" s="155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7"/>
    </row>
    <row r="37" spans="1:9" ht="14.7" customHeight="1" x14ac:dyDescent="0.3">
      <c r="A37" s="145" t="s">
        <v>42</v>
      </c>
      <c r="B37" s="146"/>
      <c r="C37" s="54"/>
      <c r="D37" s="54"/>
      <c r="E37" s="166"/>
      <c r="F37" s="166"/>
      <c r="G37" s="166"/>
      <c r="H37" s="167"/>
      <c r="I37" s="5" t="str">
        <f>IF(COUNT(C37:D37)=1,"--&gt;Verifique! Item QTDE ou PESO em branco","-")</f>
        <v>-</v>
      </c>
    </row>
    <row r="38" spans="1:9" ht="14.7" customHeight="1" x14ac:dyDescent="0.3">
      <c r="A38" s="145" t="s">
        <v>43</v>
      </c>
      <c r="B38" s="146"/>
      <c r="C38" s="54"/>
      <c r="D38" s="54"/>
      <c r="E38" s="166"/>
      <c r="F38" s="166"/>
      <c r="G38" s="166"/>
      <c r="H38" s="167"/>
      <c r="I38" s="5" t="str">
        <f>IF(COUNT(C38:D38)=1,"--&gt;Verifique! Item QTDE ou PESO em branco","-")</f>
        <v>-</v>
      </c>
    </row>
    <row r="39" spans="1:9" ht="15" customHeight="1" x14ac:dyDescent="0.3">
      <c r="A39" s="145" t="s">
        <v>44</v>
      </c>
      <c r="B39" s="146"/>
      <c r="C39" s="54"/>
      <c r="D39" s="54"/>
      <c r="E39" s="166"/>
      <c r="F39" s="166"/>
      <c r="G39" s="166"/>
      <c r="H39" s="167"/>
      <c r="I39" s="5" t="str">
        <f>IF(COUNT(C39:D39)=1,"--&gt;Verifique! Item QTDE ou PESO em branco","-")</f>
        <v>-</v>
      </c>
    </row>
    <row r="40" spans="1:9" ht="15" customHeight="1" x14ac:dyDescent="0.3">
      <c r="A40" s="151" t="s">
        <v>24</v>
      </c>
      <c r="B40" s="152"/>
      <c r="C40" s="46">
        <f>SUM(C37:C39)</f>
        <v>0</v>
      </c>
      <c r="D40" s="46"/>
      <c r="E40" s="153"/>
      <c r="F40" s="153"/>
      <c r="G40" s="153"/>
      <c r="H40" s="154"/>
    </row>
    <row r="41" spans="1:9" ht="15" customHeight="1" x14ac:dyDescent="0.3">
      <c r="A41" s="155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7"/>
    </row>
    <row r="42" spans="1:9" ht="14.7" customHeight="1" x14ac:dyDescent="0.3">
      <c r="A42" s="145" t="s">
        <v>46</v>
      </c>
      <c r="B42" s="146"/>
      <c r="C42" s="55"/>
      <c r="D42" s="55"/>
      <c r="E42" s="166"/>
      <c r="F42" s="166"/>
      <c r="G42" s="166"/>
      <c r="H42" s="167"/>
      <c r="I42" s="5" t="str">
        <f>IF(COUNT(C42:D42)=1,"--&gt;Verifique! Item QTDE ou PESO em branco","-")</f>
        <v>-</v>
      </c>
    </row>
    <row r="43" spans="1:9" ht="14.7" customHeight="1" x14ac:dyDescent="0.3">
      <c r="A43" s="145" t="s">
        <v>47</v>
      </c>
      <c r="B43" s="146"/>
      <c r="C43" s="54"/>
      <c r="D43" s="54"/>
      <c r="E43" s="166"/>
      <c r="F43" s="166"/>
      <c r="G43" s="166"/>
      <c r="H43" s="167"/>
      <c r="I43" s="5" t="str">
        <f>IF(COUNT(C43:D43)=1,"--&gt;Verifique! Item QTDE ou PESO em branco","-")</f>
        <v>-</v>
      </c>
    </row>
    <row r="44" spans="1:9" ht="14.7" customHeight="1" x14ac:dyDescent="0.3">
      <c r="A44" s="145" t="s">
        <v>48</v>
      </c>
      <c r="B44" s="146"/>
      <c r="C44" s="54"/>
      <c r="D44" s="54"/>
      <c r="E44" s="166"/>
      <c r="F44" s="166"/>
      <c r="G44" s="166"/>
      <c r="H44" s="167"/>
      <c r="I44" s="5" t="str">
        <f>IF(COUNT(C44:D44)=1,"--&gt;Verifique! Item QTDE ou PESO em branco","-")</f>
        <v>-</v>
      </c>
    </row>
    <row r="45" spans="1:9" ht="15" customHeight="1" x14ac:dyDescent="0.3">
      <c r="A45" s="151" t="s">
        <v>24</v>
      </c>
      <c r="B45" s="152"/>
      <c r="C45" s="46">
        <f>SUM(C42:C44)</f>
        <v>0</v>
      </c>
      <c r="D45" s="46"/>
      <c r="E45" s="153"/>
      <c r="F45" s="153"/>
      <c r="G45" s="153"/>
      <c r="H45" s="154"/>
    </row>
    <row r="46" spans="1:9" ht="15" customHeight="1" x14ac:dyDescent="0.3">
      <c r="A46" s="155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7"/>
    </row>
    <row r="47" spans="1:9" ht="14.7" customHeight="1" x14ac:dyDescent="0.3">
      <c r="A47" s="145" t="s">
        <v>50</v>
      </c>
      <c r="B47" s="146"/>
      <c r="C47" s="56"/>
      <c r="D47" s="54"/>
      <c r="E47" s="166"/>
      <c r="F47" s="166"/>
      <c r="G47" s="166"/>
      <c r="H47" s="167"/>
      <c r="I47" s="5" t="str">
        <f>IF(COUNT(C47:D47)=1,"--&gt;Verifique! Item QTDE ou PESO em branco","-")</f>
        <v>-</v>
      </c>
    </row>
    <row r="48" spans="1:9" ht="14.7" customHeight="1" x14ac:dyDescent="0.3">
      <c r="A48" s="145" t="s">
        <v>51</v>
      </c>
      <c r="B48" s="146"/>
      <c r="C48" s="54"/>
      <c r="D48" s="54"/>
      <c r="E48" s="166"/>
      <c r="F48" s="166"/>
      <c r="G48" s="166"/>
      <c r="H48" s="167"/>
      <c r="I48" s="5" t="str">
        <f>IF(COUNT(C48:D48)=1,"--&gt;Verifique! Item QTDE ou PESO em branco","-")</f>
        <v>-</v>
      </c>
    </row>
    <row r="49" spans="1:9" ht="14.7" customHeight="1" x14ac:dyDescent="0.3">
      <c r="A49" s="145" t="s">
        <v>52</v>
      </c>
      <c r="B49" s="146"/>
      <c r="C49" s="54"/>
      <c r="D49" s="54"/>
      <c r="E49" s="166"/>
      <c r="F49" s="166"/>
      <c r="G49" s="166"/>
      <c r="H49" s="167"/>
      <c r="I49" s="5" t="str">
        <f>IF(COUNT(C49:D49)=1,"--&gt;Verifique! Item QTDE ou PESO em branco","-")</f>
        <v>-</v>
      </c>
    </row>
    <row r="50" spans="1:9" ht="15" customHeight="1" x14ac:dyDescent="0.3">
      <c r="A50" s="151" t="s">
        <v>24</v>
      </c>
      <c r="B50" s="152"/>
      <c r="C50" s="46">
        <f>SUM(C47:C49)</f>
        <v>0</v>
      </c>
      <c r="D50" s="46"/>
      <c r="E50" s="153"/>
      <c r="F50" s="153"/>
      <c r="G50" s="153"/>
      <c r="H50" s="154"/>
    </row>
    <row r="51" spans="1:9" ht="15" customHeight="1" x14ac:dyDescent="0.3">
      <c r="A51" s="100" t="s">
        <v>53</v>
      </c>
      <c r="B51" s="101"/>
      <c r="C51" s="101"/>
      <c r="D51" s="101"/>
      <c r="E51" s="101"/>
      <c r="F51" s="101"/>
      <c r="G51" s="101"/>
      <c r="H51" s="102"/>
    </row>
    <row r="52" spans="1:9" ht="14.7" customHeight="1" x14ac:dyDescent="0.3">
      <c r="A52" s="141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4"/>
    </row>
    <row r="53" spans="1:9" x14ac:dyDescent="0.3">
      <c r="A53" s="137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40"/>
    </row>
    <row r="54" spans="1:9" x14ac:dyDescent="0.3">
      <c r="A54" s="137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40"/>
    </row>
    <row r="55" spans="1:9" x14ac:dyDescent="0.3">
      <c r="A55" s="137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40"/>
    </row>
    <row r="56" spans="1:9" x14ac:dyDescent="0.3">
      <c r="A56" s="134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5"/>
    </row>
    <row r="57" spans="1:9" x14ac:dyDescent="0.3">
      <c r="A57" s="100" t="s">
        <v>58</v>
      </c>
      <c r="B57" s="101"/>
      <c r="C57" s="101"/>
      <c r="D57" s="101"/>
      <c r="E57" s="101"/>
      <c r="F57" s="101"/>
      <c r="G57" s="101"/>
      <c r="H57" s="102"/>
    </row>
    <row r="58" spans="1:9" x14ac:dyDescent="0.3">
      <c r="A58" s="121" t="s">
        <v>59</v>
      </c>
      <c r="B58" s="122"/>
      <c r="C58" s="122"/>
      <c r="D58" s="122"/>
      <c r="E58" s="122"/>
      <c r="F58" s="124">
        <f>C56</f>
        <v>0</v>
      </c>
      <c r="G58" s="124"/>
      <c r="H58" s="125"/>
    </row>
    <row r="59" spans="1:9" x14ac:dyDescent="0.3">
      <c r="A59" s="121" t="s">
        <v>60</v>
      </c>
      <c r="B59" s="122"/>
      <c r="C59" s="122"/>
      <c r="D59" s="122"/>
      <c r="E59" s="122"/>
      <c r="F59" s="123">
        <f>H5</f>
        <v>0</v>
      </c>
      <c r="G59" s="124"/>
      <c r="H59" s="125"/>
    </row>
    <row r="60" spans="1:9" x14ac:dyDescent="0.3">
      <c r="A60" s="126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2" t="s">
        <v>62</v>
      </c>
      <c r="B61" s="113"/>
      <c r="C61" s="113"/>
      <c r="D61" s="113"/>
      <c r="E61" s="113"/>
      <c r="F61" s="113"/>
      <c r="G61" s="113"/>
      <c r="H61" s="114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8" t="s">
        <v>64</v>
      </c>
      <c r="B63" s="129"/>
      <c r="C63" s="129"/>
      <c r="D63" s="129"/>
      <c r="E63" s="129"/>
      <c r="F63" s="129"/>
      <c r="G63" s="129"/>
      <c r="H63" s="130"/>
    </row>
    <row r="64" spans="1:9" x14ac:dyDescent="0.3">
      <c r="A64" s="103"/>
      <c r="B64" s="104"/>
      <c r="C64" s="104"/>
      <c r="D64" s="104"/>
      <c r="E64" s="104"/>
      <c r="F64" s="104"/>
      <c r="G64" s="104"/>
      <c r="H64" s="105"/>
    </row>
    <row r="65" spans="1:8" x14ac:dyDescent="0.3">
      <c r="A65" s="106"/>
      <c r="B65" s="107"/>
      <c r="C65" s="107"/>
      <c r="D65" s="107"/>
      <c r="E65" s="107"/>
      <c r="F65" s="107"/>
      <c r="G65" s="107"/>
      <c r="H65" s="108"/>
    </row>
    <row r="66" spans="1:8" x14ac:dyDescent="0.3">
      <c r="A66" s="106"/>
      <c r="B66" s="107"/>
      <c r="C66" s="107"/>
      <c r="D66" s="107"/>
      <c r="E66" s="107"/>
      <c r="F66" s="107"/>
      <c r="G66" s="107"/>
      <c r="H66" s="108"/>
    </row>
    <row r="67" spans="1:8" x14ac:dyDescent="0.3">
      <c r="A67" s="106"/>
      <c r="B67" s="107"/>
      <c r="C67" s="107"/>
      <c r="D67" s="107"/>
      <c r="E67" s="107"/>
      <c r="F67" s="107"/>
      <c r="G67" s="107"/>
      <c r="H67" s="108"/>
    </row>
    <row r="68" spans="1:8" x14ac:dyDescent="0.3">
      <c r="A68" s="131"/>
      <c r="B68" s="132"/>
      <c r="C68" s="132"/>
      <c r="D68" s="132"/>
      <c r="E68" s="132"/>
      <c r="F68" s="132"/>
      <c r="G68" s="132"/>
      <c r="H68" s="133"/>
    </row>
    <row r="69" spans="1:8" x14ac:dyDescent="0.3">
      <c r="A69" s="100" t="s">
        <v>65</v>
      </c>
      <c r="B69" s="101"/>
      <c r="C69" s="101"/>
      <c r="D69" s="101"/>
      <c r="E69" s="101"/>
      <c r="F69" s="101"/>
      <c r="G69" s="101"/>
      <c r="H69" s="102"/>
    </row>
    <row r="70" spans="1:8" x14ac:dyDescent="0.3">
      <c r="A70" s="103"/>
      <c r="B70" s="104"/>
      <c r="C70" s="104"/>
      <c r="D70" s="104"/>
      <c r="E70" s="104"/>
      <c r="F70" s="104"/>
      <c r="G70" s="104"/>
      <c r="H70" s="105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7">
    <mergeCell ref="I3:J6"/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</mergeCells>
  <conditionalFormatting sqref="F3:H3">
    <cfRule type="cellIs" dxfId="36" priority="1" operator="equal">
      <formula>"n/a"</formula>
    </cfRule>
  </conditionalFormatting>
  <conditionalFormatting sqref="I8:I16">
    <cfRule type="containsText" dxfId="35" priority="14" operator="containsText" text="Verifique">
      <formula>NOT(ISERROR(SEARCH("Verifique",I8)))</formula>
    </cfRule>
  </conditionalFormatting>
  <conditionalFormatting sqref="I19:I28">
    <cfRule type="containsText" dxfId="34" priority="7" operator="containsText" text="Verifique">
      <formula>NOT(ISERROR(SEARCH("Verifique",I19)))</formula>
    </cfRule>
  </conditionalFormatting>
  <conditionalFormatting sqref="I31:I34">
    <cfRule type="containsText" dxfId="33" priority="6" operator="containsText" text="Verifique">
      <formula>NOT(ISERROR(SEARCH("Verifique",I31)))</formula>
    </cfRule>
  </conditionalFormatting>
  <conditionalFormatting sqref="I37:I39">
    <cfRule type="containsText" dxfId="32" priority="5" operator="containsText" text="Verifique">
      <formula>NOT(ISERROR(SEARCH("Verifique",I37)))</formula>
    </cfRule>
  </conditionalFormatting>
  <conditionalFormatting sqref="I42:I44">
    <cfRule type="containsText" dxfId="31" priority="4" operator="containsText" text="Verifique">
      <formula>NOT(ISERROR(SEARCH("Verifique",I42)))</formula>
    </cfRule>
  </conditionalFormatting>
  <conditionalFormatting sqref="I47:I49">
    <cfRule type="containsText" dxfId="30" priority="3" operator="containsText" text="Verifique">
      <formula>NOT(ISERROR(SEARCH("Verifique",I47)))</formula>
    </cfRule>
  </conditionalFormatting>
  <dataValidations disablePrompts="1" count="1">
    <dataValidation type="list" allowBlank="1" showInputMessage="1" showErrorMessage="1" sqref="D8:D16 D47:D49 D42:D44 D37:D39 D31:D34 D19:D28" xr:uid="{FAFF6753-92B9-4957-8B63-5877C4C3BB18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9">
    <tabColor rgb="FF002060"/>
  </sheetPr>
  <dimension ref="A1:L79"/>
  <sheetViews>
    <sheetView showGridLines="0" view="pageBreakPreview" zoomScaleNormal="110" zoomScaleSheetLayoutView="100" workbookViewId="0">
      <selection activeCell="E13" sqref="E13:H13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</mergeCells>
  <conditionalFormatting sqref="I8:I16">
    <cfRule type="containsText" dxfId="29" priority="12" operator="containsText" text="Verifique">
      <formula>NOT(ISERROR(SEARCH("Verifique",I8)))</formula>
    </cfRule>
  </conditionalFormatting>
  <conditionalFormatting sqref="I19:I28">
    <cfRule type="containsText" dxfId="28" priority="5" operator="containsText" text="Verifique">
      <formula>NOT(ISERROR(SEARCH("Verifique",I19)))</formula>
    </cfRule>
  </conditionalFormatting>
  <conditionalFormatting sqref="I31:I34">
    <cfRule type="containsText" dxfId="27" priority="4" operator="containsText" text="Verifique">
      <formula>NOT(ISERROR(SEARCH("Verifique",I31)))</formula>
    </cfRule>
  </conditionalFormatting>
  <conditionalFormatting sqref="I37:I39">
    <cfRule type="containsText" dxfId="26" priority="3" operator="containsText" text="Verifique">
      <formula>NOT(ISERROR(SEARCH("Verifique",I37)))</formula>
    </cfRule>
  </conditionalFormatting>
  <conditionalFormatting sqref="I42:I44">
    <cfRule type="containsText" dxfId="25" priority="2" operator="containsText" text="Verifique">
      <formula>NOT(ISERROR(SEARCH("Verifique",I42)))</formula>
    </cfRule>
  </conditionalFormatting>
  <conditionalFormatting sqref="I47:I49">
    <cfRule type="containsText" dxfId="24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87419C74-9736-4390-967A-432AD4963092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30">
    <tabColor rgb="FF002060"/>
  </sheetPr>
  <dimension ref="A1:L79"/>
  <sheetViews>
    <sheetView showGridLines="0" view="pageBreakPreview" zoomScaleNormal="110" zoomScaleSheetLayoutView="100" workbookViewId="0">
      <selection activeCell="E15" sqref="E15:H15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</mergeCells>
  <conditionalFormatting sqref="I8:I16">
    <cfRule type="containsText" dxfId="23" priority="12" operator="containsText" text="Verifique">
      <formula>NOT(ISERROR(SEARCH("Verifique",I8)))</formula>
    </cfRule>
  </conditionalFormatting>
  <conditionalFormatting sqref="I19:I28">
    <cfRule type="containsText" dxfId="22" priority="5" operator="containsText" text="Verifique">
      <formula>NOT(ISERROR(SEARCH("Verifique",I19)))</formula>
    </cfRule>
  </conditionalFormatting>
  <conditionalFormatting sqref="I31:I34">
    <cfRule type="containsText" dxfId="21" priority="4" operator="containsText" text="Verifique">
      <formula>NOT(ISERROR(SEARCH("Verifique",I31)))</formula>
    </cfRule>
  </conditionalFormatting>
  <conditionalFormatting sqref="I37:I39">
    <cfRule type="containsText" dxfId="20" priority="3" operator="containsText" text="Verifique">
      <formula>NOT(ISERROR(SEARCH("Verifique",I37)))</formula>
    </cfRule>
  </conditionalFormatting>
  <conditionalFormatting sqref="I42:I44">
    <cfRule type="containsText" dxfId="19" priority="2" operator="containsText" text="Verifique">
      <formula>NOT(ISERROR(SEARCH("Verifique",I42)))</formula>
    </cfRule>
  </conditionalFormatting>
  <conditionalFormatting sqref="I47:I49">
    <cfRule type="containsText" dxfId="18" priority="1" operator="containsText" text="Verifique">
      <formula>NOT(ISERROR(SEARCH("Verifique",I47)))</formula>
    </cfRule>
  </conditionalFormatting>
  <dataValidations disablePrompts="1" count="1">
    <dataValidation type="list" allowBlank="1" showInputMessage="1" showErrorMessage="1" sqref="D8:D16 D47:D49 D42:D44 D37:D39 D31:D34 D19:D28" xr:uid="{FBAD1F8C-DAD4-4EAD-B9C8-800A0138E0D7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31">
    <tabColor rgb="FF002060"/>
  </sheetPr>
  <dimension ref="A1:L79"/>
  <sheetViews>
    <sheetView showGridLines="0" view="pageBreakPreview" zoomScaleNormal="110" zoomScaleSheetLayoutView="100" workbookViewId="0">
      <selection activeCell="E17" sqref="E17:H17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</mergeCells>
  <conditionalFormatting sqref="I8:I16">
    <cfRule type="containsText" dxfId="17" priority="12" operator="containsText" text="Verifique">
      <formula>NOT(ISERROR(SEARCH("Verifique",I8)))</formula>
    </cfRule>
  </conditionalFormatting>
  <conditionalFormatting sqref="I19:I28">
    <cfRule type="containsText" dxfId="16" priority="5" operator="containsText" text="Verifique">
      <formula>NOT(ISERROR(SEARCH("Verifique",I19)))</formula>
    </cfRule>
  </conditionalFormatting>
  <conditionalFormatting sqref="I31:I34">
    <cfRule type="containsText" dxfId="15" priority="4" operator="containsText" text="Verifique">
      <formula>NOT(ISERROR(SEARCH("Verifique",I31)))</formula>
    </cfRule>
  </conditionalFormatting>
  <conditionalFormatting sqref="I37:I39">
    <cfRule type="containsText" dxfId="14" priority="3" operator="containsText" text="Verifique">
      <formula>NOT(ISERROR(SEARCH("Verifique",I37)))</formula>
    </cfRule>
  </conditionalFormatting>
  <conditionalFormatting sqref="I42:I44">
    <cfRule type="containsText" dxfId="13" priority="2" operator="containsText" text="Verifique">
      <formula>NOT(ISERROR(SEARCH("Verifique",I42)))</formula>
    </cfRule>
  </conditionalFormatting>
  <conditionalFormatting sqref="I47:I49">
    <cfRule type="containsText" dxfId="12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0EED2783-8849-4700-B7C2-79967EE7FE7A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32">
    <tabColor rgb="FF002060"/>
  </sheetPr>
  <dimension ref="A1:L79"/>
  <sheetViews>
    <sheetView showGridLines="0" view="pageBreakPreview" zoomScaleNormal="110" zoomScaleSheetLayoutView="100" workbookViewId="0">
      <selection activeCell="E13" sqref="E13:H13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</mergeCells>
  <conditionalFormatting sqref="I8:I16">
    <cfRule type="containsText" dxfId="11" priority="12" operator="containsText" text="Verifique">
      <formula>NOT(ISERROR(SEARCH("Verifique",I8)))</formula>
    </cfRule>
  </conditionalFormatting>
  <conditionalFormatting sqref="I19:I28">
    <cfRule type="containsText" dxfId="10" priority="5" operator="containsText" text="Verifique">
      <formula>NOT(ISERROR(SEARCH("Verifique",I19)))</formula>
    </cfRule>
  </conditionalFormatting>
  <conditionalFormatting sqref="I31:I34">
    <cfRule type="containsText" dxfId="9" priority="4" operator="containsText" text="Verifique">
      <formula>NOT(ISERROR(SEARCH("Verifique",I31)))</formula>
    </cfRule>
  </conditionalFormatting>
  <conditionalFormatting sqref="I37:I39">
    <cfRule type="containsText" dxfId="8" priority="3" operator="containsText" text="Verifique">
      <formula>NOT(ISERROR(SEARCH("Verifique",I37)))</formula>
    </cfRule>
  </conditionalFormatting>
  <conditionalFormatting sqref="I42:I44">
    <cfRule type="containsText" dxfId="7" priority="2" operator="containsText" text="Verifique">
      <formula>NOT(ISERROR(SEARCH("Verifique",I42)))</formula>
    </cfRule>
  </conditionalFormatting>
  <conditionalFormatting sqref="I47:I49">
    <cfRule type="containsText" dxfId="6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8FF78CCA-55EF-4E09-8014-5502BF16BE80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3">
    <tabColor rgb="FF002060"/>
  </sheetPr>
  <dimension ref="A1:L79"/>
  <sheetViews>
    <sheetView showGridLines="0" view="pageBreakPreview" zoomScaleNormal="110" zoomScaleSheetLayoutView="100" workbookViewId="0">
      <selection activeCell="E14" sqref="E14:H14"/>
    </sheetView>
  </sheetViews>
  <sheetFormatPr defaultRowHeight="14.4" x14ac:dyDescent="0.3"/>
  <cols>
    <col min="1" max="1" width="14.77734375" customWidth="1"/>
    <col min="2" max="2" width="27.44140625" customWidth="1"/>
    <col min="3" max="3" width="6.5546875" customWidth="1"/>
    <col min="4" max="4" width="6.77734375" customWidth="1"/>
    <col min="5" max="5" width="16.5546875" customWidth="1"/>
    <col min="6" max="6" width="14.21875" customWidth="1"/>
    <col min="7" max="7" width="14.5546875" customWidth="1"/>
    <col min="8" max="8" width="39.77734375" customWidth="1"/>
    <col min="9" max="9" width="9" style="5"/>
  </cols>
  <sheetData>
    <row r="1" spans="1:9" ht="26.7" customHeight="1" x14ac:dyDescent="0.3">
      <c r="A1" s="190" t="s">
        <v>0</v>
      </c>
      <c r="B1" s="190"/>
      <c r="C1" s="190"/>
      <c r="D1" s="190"/>
      <c r="E1" s="190"/>
      <c r="F1" s="190"/>
      <c r="G1" s="190"/>
      <c r="H1" s="190"/>
    </row>
    <row r="2" spans="1:9" ht="15" customHeight="1" x14ac:dyDescent="0.3">
      <c r="A2" s="48" t="s">
        <v>1</v>
      </c>
      <c r="B2" s="49" t="str">
        <f>'seg (1)'!B2</f>
        <v>CMPC</v>
      </c>
      <c r="C2" s="50"/>
      <c r="D2" s="51"/>
      <c r="E2" s="41" t="s">
        <v>2</v>
      </c>
      <c r="F2" s="170" t="str">
        <f>'seg (1)'!F2</f>
        <v>HSE</v>
      </c>
      <c r="G2" s="171"/>
      <c r="H2" s="172"/>
    </row>
    <row r="3" spans="1:9" ht="15" customHeight="1" x14ac:dyDescent="0.3">
      <c r="A3" s="48" t="s">
        <v>3</v>
      </c>
      <c r="B3" s="170">
        <f>'seg (1)'!B3</f>
        <v>0</v>
      </c>
      <c r="C3" s="171"/>
      <c r="D3" s="172"/>
      <c r="E3" s="41" t="s">
        <v>4</v>
      </c>
      <c r="F3" s="176"/>
      <c r="G3" s="176"/>
      <c r="H3" s="177"/>
    </row>
    <row r="4" spans="1:9" ht="16.2" customHeight="1" x14ac:dyDescent="0.3">
      <c r="A4" s="48" t="s">
        <v>5</v>
      </c>
      <c r="B4" s="170">
        <f>'seg (1)'!B4</f>
        <v>0</v>
      </c>
      <c r="C4" s="171"/>
      <c r="D4" s="172"/>
      <c r="E4" s="42" t="s">
        <v>6</v>
      </c>
      <c r="F4" s="178"/>
      <c r="G4" s="178"/>
      <c r="H4" s="178"/>
    </row>
    <row r="5" spans="1:9" ht="15" customHeight="1" x14ac:dyDescent="0.3">
      <c r="A5" s="48" t="s">
        <v>7</v>
      </c>
      <c r="B5" s="170">
        <f>'seg (1)'!B5</f>
        <v>0</v>
      </c>
      <c r="C5" s="171"/>
      <c r="D5" s="172"/>
      <c r="E5" s="43" t="s">
        <v>8</v>
      </c>
      <c r="F5" s="52"/>
      <c r="G5" s="43" t="s">
        <v>9</v>
      </c>
      <c r="H5" s="57"/>
    </row>
    <row r="6" spans="1:9" x14ac:dyDescent="0.3">
      <c r="A6" s="101" t="s">
        <v>10</v>
      </c>
      <c r="B6" s="101"/>
      <c r="C6" s="101"/>
      <c r="D6" s="101"/>
      <c r="E6" s="101"/>
      <c r="F6" s="101"/>
      <c r="G6" s="101"/>
      <c r="H6" s="101"/>
    </row>
    <row r="7" spans="1:9" ht="15" customHeight="1" x14ac:dyDescent="0.3">
      <c r="A7" s="156" t="s">
        <v>11</v>
      </c>
      <c r="B7" s="156"/>
      <c r="C7" s="44" t="s">
        <v>12</v>
      </c>
      <c r="D7" s="44" t="s">
        <v>13</v>
      </c>
      <c r="E7" s="156" t="s">
        <v>14</v>
      </c>
      <c r="F7" s="156"/>
      <c r="G7" s="156"/>
      <c r="H7" s="156"/>
    </row>
    <row r="8" spans="1:9" ht="14.7" customHeight="1" x14ac:dyDescent="0.3">
      <c r="A8" s="146" t="s">
        <v>15</v>
      </c>
      <c r="B8" s="146"/>
      <c r="C8" s="54"/>
      <c r="D8" s="54"/>
      <c r="E8" s="162"/>
      <c r="F8" s="162"/>
      <c r="G8" s="162"/>
      <c r="H8" s="162"/>
      <c r="I8" s="5" t="str">
        <f>IF(COUNT(C8:D8)=1,"--&gt;Verifique! Item QTDE ou PESO em branco","-")</f>
        <v>-</v>
      </c>
    </row>
    <row r="9" spans="1:9" ht="14.7" customHeight="1" x14ac:dyDescent="0.3">
      <c r="A9" s="146" t="s">
        <v>16</v>
      </c>
      <c r="B9" s="146"/>
      <c r="C9" s="54"/>
      <c r="D9" s="54"/>
      <c r="E9" s="166"/>
      <c r="F9" s="166"/>
      <c r="G9" s="166"/>
      <c r="H9" s="166"/>
      <c r="I9" s="5" t="str">
        <f t="shared" ref="I9:I16" si="0">IF(COUNT(C9:D9)=1,"--&gt;Verifique! Item QTDE ou PESO em branco","-")</f>
        <v>-</v>
      </c>
    </row>
    <row r="10" spans="1:9" ht="15" customHeight="1" x14ac:dyDescent="0.3">
      <c r="A10" s="146" t="s">
        <v>17</v>
      </c>
      <c r="B10" s="146"/>
      <c r="C10" s="54"/>
      <c r="D10" s="54"/>
      <c r="E10" s="166"/>
      <c r="F10" s="166"/>
      <c r="G10" s="166"/>
      <c r="H10" s="166"/>
      <c r="I10" s="5" t="str">
        <f t="shared" si="0"/>
        <v>-</v>
      </c>
    </row>
    <row r="11" spans="1:9" ht="15" customHeight="1" x14ac:dyDescent="0.3">
      <c r="A11" s="146" t="s">
        <v>18</v>
      </c>
      <c r="B11" s="146"/>
      <c r="C11" s="54"/>
      <c r="D11" s="54"/>
      <c r="E11" s="166"/>
      <c r="F11" s="166"/>
      <c r="G11" s="166"/>
      <c r="H11" s="166"/>
      <c r="I11" s="5" t="str">
        <f t="shared" si="0"/>
        <v>-</v>
      </c>
    </row>
    <row r="12" spans="1:9" ht="15" customHeight="1" x14ac:dyDescent="0.3">
      <c r="A12" s="146" t="s">
        <v>19</v>
      </c>
      <c r="B12" s="146"/>
      <c r="C12" s="54"/>
      <c r="D12" s="54"/>
      <c r="E12" s="166"/>
      <c r="F12" s="166"/>
      <c r="G12" s="166"/>
      <c r="H12" s="166"/>
      <c r="I12" s="5" t="str">
        <f t="shared" si="0"/>
        <v>-</v>
      </c>
    </row>
    <row r="13" spans="1:9" ht="15" customHeight="1" x14ac:dyDescent="0.3">
      <c r="A13" s="146" t="s">
        <v>20</v>
      </c>
      <c r="B13" s="146"/>
      <c r="C13" s="54"/>
      <c r="D13" s="54"/>
      <c r="E13" s="166"/>
      <c r="F13" s="166"/>
      <c r="G13" s="166"/>
      <c r="H13" s="166"/>
      <c r="I13" s="5" t="str">
        <f t="shared" si="0"/>
        <v>-</v>
      </c>
    </row>
    <row r="14" spans="1:9" ht="15" customHeight="1" x14ac:dyDescent="0.3">
      <c r="A14" s="146" t="s">
        <v>21</v>
      </c>
      <c r="B14" s="146"/>
      <c r="C14" s="54"/>
      <c r="D14" s="54"/>
      <c r="E14" s="166"/>
      <c r="F14" s="166"/>
      <c r="G14" s="166"/>
      <c r="H14" s="166"/>
      <c r="I14" s="5" t="str">
        <f t="shared" si="0"/>
        <v>-</v>
      </c>
    </row>
    <row r="15" spans="1:9" ht="15" customHeight="1" x14ac:dyDescent="0.3">
      <c r="A15" s="146" t="s">
        <v>22</v>
      </c>
      <c r="B15" s="146"/>
      <c r="C15" s="54"/>
      <c r="D15" s="54"/>
      <c r="E15" s="166"/>
      <c r="F15" s="166"/>
      <c r="G15" s="166"/>
      <c r="H15" s="166"/>
      <c r="I15" s="5" t="str">
        <f t="shared" si="0"/>
        <v>-</v>
      </c>
    </row>
    <row r="16" spans="1:9" ht="15" customHeight="1" x14ac:dyDescent="0.3">
      <c r="A16" s="146" t="s">
        <v>23</v>
      </c>
      <c r="B16" s="146"/>
      <c r="C16" s="54"/>
      <c r="D16" s="54"/>
      <c r="E16" s="166"/>
      <c r="F16" s="166"/>
      <c r="G16" s="166"/>
      <c r="H16" s="166"/>
      <c r="I16" s="5" t="str">
        <f t="shared" si="0"/>
        <v>-</v>
      </c>
    </row>
    <row r="17" spans="1:12" ht="15" customHeight="1" x14ac:dyDescent="0.3">
      <c r="A17" s="152" t="s">
        <v>24</v>
      </c>
      <c r="B17" s="152"/>
      <c r="C17" s="45">
        <f>SUM(C8:C16)</f>
        <v>0</v>
      </c>
      <c r="D17" s="45"/>
      <c r="E17" s="153"/>
      <c r="F17" s="153"/>
      <c r="G17" s="153"/>
      <c r="H17" s="153"/>
      <c r="I17" s="3"/>
      <c r="J17" s="3"/>
      <c r="K17" s="1"/>
      <c r="L17" s="1"/>
    </row>
    <row r="18" spans="1:12" ht="15" customHeight="1" x14ac:dyDescent="0.3">
      <c r="A18" s="156" t="s">
        <v>25</v>
      </c>
      <c r="B18" s="156"/>
      <c r="C18" s="44" t="s">
        <v>12</v>
      </c>
      <c r="D18" s="44" t="s">
        <v>13</v>
      </c>
      <c r="E18" s="156" t="s">
        <v>14</v>
      </c>
      <c r="F18" s="156"/>
      <c r="G18" s="156"/>
      <c r="H18" s="156"/>
      <c r="I18" s="4"/>
      <c r="J18" s="4"/>
      <c r="K18" s="2"/>
      <c r="L18" s="2"/>
    </row>
    <row r="19" spans="1:12" ht="14.7" customHeight="1" x14ac:dyDescent="0.3">
      <c r="A19" s="146" t="s">
        <v>26</v>
      </c>
      <c r="B19" s="146"/>
      <c r="C19" s="54"/>
      <c r="D19" s="54"/>
      <c r="E19" s="166"/>
      <c r="F19" s="166"/>
      <c r="G19" s="166"/>
      <c r="H19" s="166"/>
      <c r="I19" s="5" t="str">
        <f t="shared" ref="I19:I28" si="1">IF(COUNT(C19:D19)=1,"--&gt;Verifique! Item QTDE ou PESO em branco","-")</f>
        <v>-</v>
      </c>
      <c r="J19" s="4"/>
      <c r="K19" s="2"/>
      <c r="L19" s="2"/>
    </row>
    <row r="20" spans="1:12" ht="15" customHeight="1" x14ac:dyDescent="0.3">
      <c r="A20" s="146" t="s">
        <v>27</v>
      </c>
      <c r="B20" s="146"/>
      <c r="C20" s="54"/>
      <c r="D20" s="54"/>
      <c r="E20" s="166"/>
      <c r="F20" s="166"/>
      <c r="G20" s="166"/>
      <c r="H20" s="166"/>
      <c r="I20" s="5" t="str">
        <f t="shared" si="1"/>
        <v>-</v>
      </c>
      <c r="J20" s="4"/>
      <c r="K20" s="2"/>
      <c r="L20" s="2"/>
    </row>
    <row r="21" spans="1:12" x14ac:dyDescent="0.3">
      <c r="A21" s="146" t="s">
        <v>28</v>
      </c>
      <c r="B21" s="146"/>
      <c r="C21" s="54"/>
      <c r="D21" s="54"/>
      <c r="E21" s="166"/>
      <c r="F21" s="166"/>
      <c r="G21" s="166"/>
      <c r="H21" s="166"/>
      <c r="I21" s="5" t="str">
        <f t="shared" si="1"/>
        <v>-</v>
      </c>
    </row>
    <row r="22" spans="1:12" ht="15" customHeight="1" x14ac:dyDescent="0.3">
      <c r="A22" s="146" t="s">
        <v>29</v>
      </c>
      <c r="B22" s="146"/>
      <c r="C22" s="54"/>
      <c r="D22" s="54"/>
      <c r="E22" s="166"/>
      <c r="F22" s="166"/>
      <c r="G22" s="166"/>
      <c r="H22" s="166"/>
      <c r="I22" s="5" t="str">
        <f t="shared" si="1"/>
        <v>-</v>
      </c>
    </row>
    <row r="23" spans="1:12" x14ac:dyDescent="0.3">
      <c r="A23" s="146" t="s">
        <v>30</v>
      </c>
      <c r="B23" s="146"/>
      <c r="C23" s="54"/>
      <c r="D23" s="54"/>
      <c r="E23" s="166"/>
      <c r="F23" s="166"/>
      <c r="G23" s="166"/>
      <c r="H23" s="166"/>
      <c r="I23" s="5" t="str">
        <f t="shared" si="1"/>
        <v>-</v>
      </c>
    </row>
    <row r="24" spans="1:12" x14ac:dyDescent="0.3">
      <c r="A24" s="146" t="s">
        <v>31</v>
      </c>
      <c r="B24" s="146"/>
      <c r="C24" s="54"/>
      <c r="D24" s="54"/>
      <c r="E24" s="166"/>
      <c r="F24" s="166"/>
      <c r="G24" s="166"/>
      <c r="H24" s="166"/>
      <c r="I24" s="5" t="str">
        <f t="shared" si="1"/>
        <v>-</v>
      </c>
    </row>
    <row r="25" spans="1:12" x14ac:dyDescent="0.3">
      <c r="A25" s="146" t="s">
        <v>32</v>
      </c>
      <c r="B25" s="146"/>
      <c r="C25" s="54"/>
      <c r="D25" s="54"/>
      <c r="E25" s="166"/>
      <c r="F25" s="166"/>
      <c r="G25" s="166"/>
      <c r="H25" s="166"/>
      <c r="I25" s="5" t="str">
        <f t="shared" si="1"/>
        <v>-</v>
      </c>
    </row>
    <row r="26" spans="1:12" x14ac:dyDescent="0.3">
      <c r="A26" s="146" t="s">
        <v>33</v>
      </c>
      <c r="B26" s="146"/>
      <c r="C26" s="54"/>
      <c r="D26" s="54"/>
      <c r="E26" s="166"/>
      <c r="F26" s="166"/>
      <c r="G26" s="166"/>
      <c r="H26" s="166"/>
      <c r="I26" s="5" t="str">
        <f t="shared" si="1"/>
        <v>-</v>
      </c>
    </row>
    <row r="27" spans="1:12" x14ac:dyDescent="0.3">
      <c r="A27" s="146" t="s">
        <v>34</v>
      </c>
      <c r="B27" s="146"/>
      <c r="C27" s="54"/>
      <c r="D27" s="54"/>
      <c r="E27" s="166"/>
      <c r="F27" s="166"/>
      <c r="G27" s="166"/>
      <c r="H27" s="166"/>
      <c r="I27" s="5" t="str">
        <f t="shared" si="1"/>
        <v>-</v>
      </c>
    </row>
    <row r="28" spans="1:12" x14ac:dyDescent="0.3">
      <c r="A28" s="146" t="s">
        <v>35</v>
      </c>
      <c r="B28" s="146"/>
      <c r="C28" s="54"/>
      <c r="D28" s="54"/>
      <c r="E28" s="166"/>
      <c r="F28" s="166"/>
      <c r="G28" s="166"/>
      <c r="H28" s="166"/>
      <c r="I28" s="5" t="str">
        <f t="shared" si="1"/>
        <v>-</v>
      </c>
    </row>
    <row r="29" spans="1:12" ht="15" customHeight="1" x14ac:dyDescent="0.3">
      <c r="A29" s="152" t="s">
        <v>24</v>
      </c>
      <c r="B29" s="152"/>
      <c r="C29" s="46">
        <f>SUM(C19:C28)</f>
        <v>0</v>
      </c>
      <c r="D29" s="46"/>
      <c r="E29" s="153"/>
      <c r="F29" s="153"/>
      <c r="G29" s="153"/>
      <c r="H29" s="153"/>
    </row>
    <row r="30" spans="1:12" x14ac:dyDescent="0.3">
      <c r="A30" s="156" t="s">
        <v>36</v>
      </c>
      <c r="B30" s="156"/>
      <c r="C30" s="44" t="s">
        <v>12</v>
      </c>
      <c r="D30" s="44" t="s">
        <v>13</v>
      </c>
      <c r="E30" s="156" t="s">
        <v>14</v>
      </c>
      <c r="F30" s="156"/>
      <c r="G30" s="156"/>
      <c r="H30" s="156"/>
    </row>
    <row r="31" spans="1:12" x14ac:dyDescent="0.3">
      <c r="A31" s="146" t="s">
        <v>37</v>
      </c>
      <c r="B31" s="146"/>
      <c r="C31" s="54"/>
      <c r="D31" s="54"/>
      <c r="E31" s="166"/>
      <c r="F31" s="166"/>
      <c r="G31" s="166"/>
      <c r="H31" s="166"/>
      <c r="I31" s="5" t="str">
        <f>IF(COUNT(C31:D31)=1,"--&gt;Verifique! Item QTDE ou PESO em branco","-")</f>
        <v>-</v>
      </c>
    </row>
    <row r="32" spans="1:12" x14ac:dyDescent="0.3">
      <c r="A32" s="146" t="s">
        <v>38</v>
      </c>
      <c r="B32" s="146"/>
      <c r="C32" s="54"/>
      <c r="D32" s="54"/>
      <c r="E32" s="166"/>
      <c r="F32" s="166"/>
      <c r="G32" s="166"/>
      <c r="H32" s="166"/>
      <c r="I32" s="5" t="str">
        <f>IF(COUNT(C32:D32)=1,"--&gt;Verifique! Item QTDE ou PESO em branco","-")</f>
        <v>-</v>
      </c>
    </row>
    <row r="33" spans="1:9" ht="14.7" customHeight="1" x14ac:dyDescent="0.3">
      <c r="A33" s="146" t="s">
        <v>39</v>
      </c>
      <c r="B33" s="146"/>
      <c r="C33" s="54"/>
      <c r="D33" s="54"/>
      <c r="E33" s="166"/>
      <c r="F33" s="166"/>
      <c r="G33" s="166"/>
      <c r="H33" s="166"/>
      <c r="I33" s="5" t="str">
        <f>IF(COUNT(C33:D33)=1,"--&gt;Verifique! Item QTDE ou PESO em branco","-")</f>
        <v>-</v>
      </c>
    </row>
    <row r="34" spans="1:9" ht="14.7" customHeight="1" x14ac:dyDescent="0.3">
      <c r="A34" s="146" t="s">
        <v>40</v>
      </c>
      <c r="B34" s="146"/>
      <c r="C34" s="54"/>
      <c r="D34" s="54"/>
      <c r="E34" s="166"/>
      <c r="F34" s="166"/>
      <c r="G34" s="166"/>
      <c r="H34" s="166"/>
      <c r="I34" s="5" t="str">
        <f>IF(COUNT(C34:D34)=1,"--&gt;Verifique! Item QTDE ou PESO em branco","-")</f>
        <v>-</v>
      </c>
    </row>
    <row r="35" spans="1:9" ht="15" customHeight="1" x14ac:dyDescent="0.3">
      <c r="A35" s="152" t="s">
        <v>24</v>
      </c>
      <c r="B35" s="152"/>
      <c r="C35" s="46">
        <f>SUM(C31:C34)</f>
        <v>0</v>
      </c>
      <c r="D35" s="46"/>
      <c r="E35" s="153"/>
      <c r="F35" s="153"/>
      <c r="G35" s="153"/>
      <c r="H35" s="153"/>
    </row>
    <row r="36" spans="1:9" ht="16.2" customHeight="1" x14ac:dyDescent="0.3">
      <c r="A36" s="156" t="s">
        <v>41</v>
      </c>
      <c r="B36" s="156"/>
      <c r="C36" s="44" t="s">
        <v>12</v>
      </c>
      <c r="D36" s="44" t="s">
        <v>13</v>
      </c>
      <c r="E36" s="156" t="s">
        <v>14</v>
      </c>
      <c r="F36" s="156"/>
      <c r="G36" s="156"/>
      <c r="H36" s="156"/>
    </row>
    <row r="37" spans="1:9" ht="14.7" customHeight="1" x14ac:dyDescent="0.3">
      <c r="A37" s="146" t="s">
        <v>42</v>
      </c>
      <c r="B37" s="146"/>
      <c r="C37" s="54"/>
      <c r="D37" s="54"/>
      <c r="E37" s="166"/>
      <c r="F37" s="166"/>
      <c r="G37" s="166"/>
      <c r="H37" s="166"/>
      <c r="I37" s="5" t="str">
        <f>IF(COUNT(C37:D37)=1,"--&gt;Verifique! Item QTDE ou PESO em branco","-")</f>
        <v>-</v>
      </c>
    </row>
    <row r="38" spans="1:9" ht="14.7" customHeight="1" x14ac:dyDescent="0.3">
      <c r="A38" s="146" t="s">
        <v>43</v>
      </c>
      <c r="B38" s="146"/>
      <c r="C38" s="54"/>
      <c r="D38" s="54"/>
      <c r="E38" s="166"/>
      <c r="F38" s="166"/>
      <c r="G38" s="166"/>
      <c r="H38" s="166"/>
      <c r="I38" s="5" t="str">
        <f>IF(COUNT(C38:D38)=1,"--&gt;Verifique! Item QTDE ou PESO em branco","-")</f>
        <v>-</v>
      </c>
    </row>
    <row r="39" spans="1:9" ht="15" customHeight="1" x14ac:dyDescent="0.3">
      <c r="A39" s="146" t="s">
        <v>44</v>
      </c>
      <c r="B39" s="146"/>
      <c r="C39" s="54"/>
      <c r="D39" s="54"/>
      <c r="E39" s="166"/>
      <c r="F39" s="166"/>
      <c r="G39" s="166"/>
      <c r="H39" s="166"/>
      <c r="I39" s="5" t="str">
        <f>IF(COUNT(C39:D39)=1,"--&gt;Verifique! Item QTDE ou PESO em branco","-")</f>
        <v>-</v>
      </c>
    </row>
    <row r="40" spans="1:9" ht="15" customHeight="1" x14ac:dyDescent="0.3">
      <c r="A40" s="152" t="s">
        <v>24</v>
      </c>
      <c r="B40" s="152"/>
      <c r="C40" s="46">
        <f>SUM(C37:C39)</f>
        <v>0</v>
      </c>
      <c r="D40" s="46"/>
      <c r="E40" s="153"/>
      <c r="F40" s="153"/>
      <c r="G40" s="153"/>
      <c r="H40" s="153"/>
    </row>
    <row r="41" spans="1:9" ht="15" customHeight="1" x14ac:dyDescent="0.3">
      <c r="A41" s="156" t="s">
        <v>45</v>
      </c>
      <c r="B41" s="156"/>
      <c r="C41" s="44" t="s">
        <v>12</v>
      </c>
      <c r="D41" s="44" t="s">
        <v>13</v>
      </c>
      <c r="E41" s="156" t="s">
        <v>14</v>
      </c>
      <c r="F41" s="156"/>
      <c r="G41" s="156"/>
      <c r="H41" s="156"/>
    </row>
    <row r="42" spans="1:9" ht="14.7" customHeight="1" x14ac:dyDescent="0.3">
      <c r="A42" s="146" t="s">
        <v>46</v>
      </c>
      <c r="B42" s="146"/>
      <c r="C42" s="55"/>
      <c r="D42" s="55"/>
      <c r="E42" s="166"/>
      <c r="F42" s="166"/>
      <c r="G42" s="166"/>
      <c r="H42" s="166"/>
      <c r="I42" s="5" t="str">
        <f>IF(COUNT(C42:D42)=1,"--&gt;Verifique! Item QTDE ou PESO em branco","-")</f>
        <v>-</v>
      </c>
    </row>
    <row r="43" spans="1:9" ht="14.7" customHeight="1" x14ac:dyDescent="0.3">
      <c r="A43" s="146" t="s">
        <v>47</v>
      </c>
      <c r="B43" s="146"/>
      <c r="C43" s="54"/>
      <c r="D43" s="54"/>
      <c r="E43" s="166"/>
      <c r="F43" s="166"/>
      <c r="G43" s="166"/>
      <c r="H43" s="166"/>
      <c r="I43" s="5" t="str">
        <f>IF(COUNT(C43:D43)=1,"--&gt;Verifique! Item QTDE ou PESO em branco","-")</f>
        <v>-</v>
      </c>
    </row>
    <row r="44" spans="1:9" ht="14.7" customHeight="1" x14ac:dyDescent="0.3">
      <c r="A44" s="146" t="s">
        <v>48</v>
      </c>
      <c r="B44" s="146"/>
      <c r="C44" s="54"/>
      <c r="D44" s="54"/>
      <c r="E44" s="166"/>
      <c r="F44" s="166"/>
      <c r="G44" s="166"/>
      <c r="H44" s="166"/>
      <c r="I44" s="5" t="str">
        <f>IF(COUNT(C44:D44)=1,"--&gt;Verifique! Item QTDE ou PESO em branco","-")</f>
        <v>-</v>
      </c>
    </row>
    <row r="45" spans="1:9" ht="15" customHeight="1" x14ac:dyDescent="0.3">
      <c r="A45" s="152" t="s">
        <v>24</v>
      </c>
      <c r="B45" s="152"/>
      <c r="C45" s="46">
        <f>SUM(C42:C44)</f>
        <v>0</v>
      </c>
      <c r="D45" s="46"/>
      <c r="E45" s="153"/>
      <c r="F45" s="153"/>
      <c r="G45" s="153"/>
      <c r="H45" s="153"/>
    </row>
    <row r="46" spans="1:9" ht="15" customHeight="1" x14ac:dyDescent="0.3">
      <c r="A46" s="156" t="s">
        <v>49</v>
      </c>
      <c r="B46" s="156"/>
      <c r="C46" s="44" t="s">
        <v>12</v>
      </c>
      <c r="D46" s="44" t="s">
        <v>13</v>
      </c>
      <c r="E46" s="156" t="s">
        <v>14</v>
      </c>
      <c r="F46" s="156"/>
      <c r="G46" s="156"/>
      <c r="H46" s="156"/>
    </row>
    <row r="47" spans="1:9" ht="14.7" customHeight="1" x14ac:dyDescent="0.3">
      <c r="A47" s="146" t="s">
        <v>50</v>
      </c>
      <c r="B47" s="146"/>
      <c r="C47" s="56"/>
      <c r="D47" s="54"/>
      <c r="E47" s="166"/>
      <c r="F47" s="166"/>
      <c r="G47" s="166"/>
      <c r="H47" s="166"/>
      <c r="I47" s="5" t="str">
        <f>IF(COUNT(C47:D47)=1,"--&gt;Verifique! Item QTDE ou PESO em branco","-")</f>
        <v>-</v>
      </c>
    </row>
    <row r="48" spans="1:9" ht="14.7" customHeight="1" x14ac:dyDescent="0.3">
      <c r="A48" s="146" t="s">
        <v>51</v>
      </c>
      <c r="B48" s="146"/>
      <c r="C48" s="54"/>
      <c r="D48" s="54"/>
      <c r="E48" s="166"/>
      <c r="F48" s="166"/>
      <c r="G48" s="166"/>
      <c r="H48" s="166"/>
      <c r="I48" s="5" t="str">
        <f>IF(COUNT(C48:D48)=1,"--&gt;Verifique! Item QTDE ou PESO em branco","-")</f>
        <v>-</v>
      </c>
    </row>
    <row r="49" spans="1:9" ht="14.7" customHeight="1" x14ac:dyDescent="0.3">
      <c r="A49" s="146" t="s">
        <v>52</v>
      </c>
      <c r="B49" s="146"/>
      <c r="C49" s="54"/>
      <c r="D49" s="54"/>
      <c r="E49" s="166"/>
      <c r="F49" s="166"/>
      <c r="G49" s="166"/>
      <c r="H49" s="166"/>
      <c r="I49" s="5" t="str">
        <f>IF(COUNT(C49:D49)=1,"--&gt;Verifique! Item QTDE ou PESO em branco","-")</f>
        <v>-</v>
      </c>
    </row>
    <row r="50" spans="1:9" ht="15" customHeight="1" x14ac:dyDescent="0.3">
      <c r="A50" s="152" t="s">
        <v>24</v>
      </c>
      <c r="B50" s="152"/>
      <c r="C50" s="46">
        <f>SUM(C47:C49)</f>
        <v>0</v>
      </c>
      <c r="D50" s="46"/>
      <c r="E50" s="153"/>
      <c r="F50" s="153"/>
      <c r="G50" s="153"/>
      <c r="H50" s="153"/>
    </row>
    <row r="51" spans="1:9" ht="15" customHeight="1" x14ac:dyDescent="0.3">
      <c r="A51" s="101" t="s">
        <v>53</v>
      </c>
      <c r="B51" s="101"/>
      <c r="C51" s="101"/>
      <c r="D51" s="101"/>
      <c r="E51" s="101"/>
      <c r="F51" s="101"/>
      <c r="G51" s="101"/>
      <c r="H51" s="101"/>
    </row>
    <row r="52" spans="1:9" ht="14.7" customHeight="1" x14ac:dyDescent="0.3">
      <c r="A52" s="142" t="s">
        <v>54</v>
      </c>
      <c r="B52" s="142"/>
      <c r="C52" s="142" t="s">
        <v>55</v>
      </c>
      <c r="D52" s="142"/>
      <c r="E52" s="142"/>
      <c r="F52" s="143" t="s">
        <v>56</v>
      </c>
      <c r="G52" s="143"/>
      <c r="H52" s="143"/>
    </row>
    <row r="53" spans="1:9" x14ac:dyDescent="0.3">
      <c r="A53" s="138">
        <v>0.3</v>
      </c>
      <c r="B53" s="138"/>
      <c r="C53" s="124">
        <f>SUMIF(D8:D16,0.3,C8:C16)+SUMIF(D19:D28,0.3,C19:C28)+SUMIF(D31:D34,0.3,C31:C34)+SUMIF(D37:D39,0.3,C37:C39)+SUMIF(D42:D44,0.3,C42:C44)+SUMIF(D47:D49,0.3,C47:C49)</f>
        <v>0</v>
      </c>
      <c r="D53" s="124"/>
      <c r="E53" s="124"/>
      <c r="F53" s="139" t="str">
        <f>IF(C53&gt;0,C53/$C$56,"-")</f>
        <v>-</v>
      </c>
      <c r="G53" s="139"/>
      <c r="H53" s="139"/>
    </row>
    <row r="54" spans="1:9" x14ac:dyDescent="0.3">
      <c r="A54" s="138">
        <v>1</v>
      </c>
      <c r="B54" s="138"/>
      <c r="C54" s="124">
        <f>SUMIF(D8:D16,1,C8:C16)+SUMIF(D19:D28,1,C19:C28)+SUMIF(D31:D34,1,C31:C34)+SUMIF(D37:D39,1,C37:C39)+SUMIF(D42:D44,1,C42:C44)+SUMIF(D47:D49,1,C47:C49)</f>
        <v>0</v>
      </c>
      <c r="D54" s="124"/>
      <c r="E54" s="124"/>
      <c r="F54" s="139" t="str">
        <f>IF(C54&gt;0,C54/$C$56,"-")</f>
        <v>-</v>
      </c>
      <c r="G54" s="139"/>
      <c r="H54" s="139"/>
    </row>
    <row r="55" spans="1:9" x14ac:dyDescent="0.3">
      <c r="A55" s="138">
        <v>3</v>
      </c>
      <c r="B55" s="138"/>
      <c r="C55" s="124">
        <f>SUMIF(D8:D16,3,C8:C16)+SUMIF(D19:D28,3,C19:C28)+SUMIF(D31:D34,3,C31:C34)+SUMIF(D37:D39,3,C37:C39)+SUMIF(D42:D44,3,C42:C44)+SUMIF(D47:D49,3,C47:C49)</f>
        <v>0</v>
      </c>
      <c r="D55" s="124"/>
      <c r="E55" s="124"/>
      <c r="F55" s="139" t="str">
        <f>IF(C55&gt;0,C55/$C$56,"-")</f>
        <v>-</v>
      </c>
      <c r="G55" s="139"/>
      <c r="H55" s="139"/>
    </row>
    <row r="56" spans="1:9" x14ac:dyDescent="0.3">
      <c r="A56" s="135" t="s">
        <v>57</v>
      </c>
      <c r="B56" s="135"/>
      <c r="C56" s="135">
        <f>SUM(C53:E55)</f>
        <v>0</v>
      </c>
      <c r="D56" s="135"/>
      <c r="E56" s="135"/>
      <c r="F56" s="136">
        <f>SUM(F53:H55)</f>
        <v>0</v>
      </c>
      <c r="G56" s="124"/>
      <c r="H56" s="124"/>
    </row>
    <row r="57" spans="1:9" x14ac:dyDescent="0.3">
      <c r="A57" s="101" t="s">
        <v>58</v>
      </c>
      <c r="B57" s="101"/>
      <c r="C57" s="101"/>
      <c r="D57" s="101"/>
      <c r="E57" s="101"/>
      <c r="F57" s="101"/>
      <c r="G57" s="101"/>
      <c r="H57" s="101"/>
    </row>
    <row r="58" spans="1:9" x14ac:dyDescent="0.3">
      <c r="A58" s="122" t="s">
        <v>59</v>
      </c>
      <c r="B58" s="122"/>
      <c r="C58" s="122"/>
      <c r="D58" s="122"/>
      <c r="E58" s="122"/>
      <c r="F58" s="124">
        <f>C56</f>
        <v>0</v>
      </c>
      <c r="G58" s="124"/>
      <c r="H58" s="124"/>
    </row>
    <row r="59" spans="1:9" x14ac:dyDescent="0.3">
      <c r="A59" s="122" t="s">
        <v>60</v>
      </c>
      <c r="B59" s="122"/>
      <c r="C59" s="122"/>
      <c r="D59" s="122"/>
      <c r="E59" s="122"/>
      <c r="F59" s="123">
        <f>H5</f>
        <v>0</v>
      </c>
      <c r="G59" s="124"/>
      <c r="H59" s="124"/>
    </row>
    <row r="60" spans="1:9" x14ac:dyDescent="0.3">
      <c r="A60" s="127" t="s">
        <v>61</v>
      </c>
      <c r="B60" s="127"/>
      <c r="C60" s="127"/>
      <c r="D60" s="127"/>
      <c r="E60" s="127"/>
      <c r="F60" s="124">
        <f>(C53*A53)+(C54*A54)+(C55*A55)</f>
        <v>0</v>
      </c>
      <c r="G60" s="124"/>
      <c r="H60" s="125"/>
    </row>
    <row r="61" spans="1:9" ht="15" thickBot="1" x14ac:dyDescent="0.35">
      <c r="A61" s="113" t="s">
        <v>62</v>
      </c>
      <c r="B61" s="113"/>
      <c r="C61" s="113"/>
      <c r="D61" s="113"/>
      <c r="E61" s="113"/>
      <c r="F61" s="113"/>
      <c r="G61" s="113"/>
      <c r="H61" s="113"/>
    </row>
    <row r="62" spans="1:9" ht="23.25" customHeight="1" thickBot="1" x14ac:dyDescent="0.35">
      <c r="A62" s="118" t="s">
        <v>63</v>
      </c>
      <c r="B62" s="119"/>
      <c r="C62" s="119"/>
      <c r="D62" s="119"/>
      <c r="E62" s="120"/>
      <c r="F62" s="115" t="str">
        <f>IF(F59&gt;0,1-((F60/F59)),"-")</f>
        <v>-</v>
      </c>
      <c r="G62" s="116"/>
      <c r="H62" s="117"/>
    </row>
    <row r="63" spans="1:9" x14ac:dyDescent="0.3">
      <c r="A63" s="129" t="s">
        <v>64</v>
      </c>
      <c r="B63" s="129"/>
      <c r="C63" s="129"/>
      <c r="D63" s="129"/>
      <c r="E63" s="129"/>
      <c r="F63" s="129"/>
      <c r="G63" s="129"/>
      <c r="H63" s="129"/>
    </row>
    <row r="64" spans="1:9" x14ac:dyDescent="0.3">
      <c r="A64" s="180"/>
      <c r="B64" s="104"/>
      <c r="C64" s="104"/>
      <c r="D64" s="104"/>
      <c r="E64" s="104"/>
      <c r="F64" s="104"/>
      <c r="G64" s="104"/>
      <c r="H64" s="181"/>
    </row>
    <row r="65" spans="1:8" x14ac:dyDescent="0.3">
      <c r="A65" s="182"/>
      <c r="B65" s="107"/>
      <c r="C65" s="107"/>
      <c r="D65" s="107"/>
      <c r="E65" s="107"/>
      <c r="F65" s="107"/>
      <c r="G65" s="107"/>
      <c r="H65" s="183"/>
    </row>
    <row r="66" spans="1:8" x14ac:dyDescent="0.3">
      <c r="A66" s="182"/>
      <c r="B66" s="107"/>
      <c r="C66" s="107"/>
      <c r="D66" s="107"/>
      <c r="E66" s="107"/>
      <c r="F66" s="107"/>
      <c r="G66" s="107"/>
      <c r="H66" s="183"/>
    </row>
    <row r="67" spans="1:8" x14ac:dyDescent="0.3">
      <c r="A67" s="182"/>
      <c r="B67" s="107"/>
      <c r="C67" s="107"/>
      <c r="D67" s="107"/>
      <c r="E67" s="107"/>
      <c r="F67" s="107"/>
      <c r="G67" s="107"/>
      <c r="H67" s="183"/>
    </row>
    <row r="68" spans="1:8" x14ac:dyDescent="0.3">
      <c r="A68" s="184"/>
      <c r="B68" s="132"/>
      <c r="C68" s="132"/>
      <c r="D68" s="132"/>
      <c r="E68" s="132"/>
      <c r="F68" s="132"/>
      <c r="G68" s="132"/>
      <c r="H68" s="185"/>
    </row>
    <row r="69" spans="1:8" ht="15" thickBot="1" x14ac:dyDescent="0.35">
      <c r="A69" s="113" t="s">
        <v>65</v>
      </c>
      <c r="B69" s="113"/>
      <c r="C69" s="113"/>
      <c r="D69" s="113"/>
      <c r="E69" s="113"/>
      <c r="F69" s="113"/>
      <c r="G69" s="113"/>
      <c r="H69" s="113"/>
    </row>
    <row r="70" spans="1:8" x14ac:dyDescent="0.3">
      <c r="A70" s="186"/>
      <c r="B70" s="187"/>
      <c r="C70" s="187"/>
      <c r="D70" s="187"/>
      <c r="E70" s="187"/>
      <c r="F70" s="187"/>
      <c r="G70" s="187"/>
      <c r="H70" s="188"/>
    </row>
    <row r="71" spans="1:8" x14ac:dyDescent="0.3">
      <c r="A71" s="106"/>
      <c r="B71" s="107"/>
      <c r="C71" s="107"/>
      <c r="D71" s="107"/>
      <c r="E71" s="107"/>
      <c r="F71" s="107"/>
      <c r="G71" s="107"/>
      <c r="H71" s="108"/>
    </row>
    <row r="72" spans="1:8" x14ac:dyDescent="0.3">
      <c r="A72" s="106"/>
      <c r="B72" s="107"/>
      <c r="C72" s="107"/>
      <c r="D72" s="107"/>
      <c r="E72" s="107"/>
      <c r="F72" s="107"/>
      <c r="G72" s="107"/>
      <c r="H72" s="108"/>
    </row>
    <row r="73" spans="1:8" x14ac:dyDescent="0.3">
      <c r="A73" s="106"/>
      <c r="B73" s="107"/>
      <c r="C73" s="107"/>
      <c r="D73" s="107"/>
      <c r="E73" s="107"/>
      <c r="F73" s="107"/>
      <c r="G73" s="107"/>
      <c r="H73" s="108"/>
    </row>
    <row r="74" spans="1:8" x14ac:dyDescent="0.3">
      <c r="A74" s="106"/>
      <c r="B74" s="107"/>
      <c r="C74" s="107"/>
      <c r="D74" s="107"/>
      <c r="E74" s="107"/>
      <c r="F74" s="107"/>
      <c r="G74" s="107"/>
      <c r="H74" s="108"/>
    </row>
    <row r="75" spans="1:8" ht="15" thickBot="1" x14ac:dyDescent="0.35">
      <c r="A75" s="109"/>
      <c r="B75" s="110"/>
      <c r="C75" s="110"/>
      <c r="D75" s="110"/>
      <c r="E75" s="110"/>
      <c r="F75" s="110"/>
      <c r="G75" s="110"/>
      <c r="H75" s="111"/>
    </row>
    <row r="76" spans="1:8" x14ac:dyDescent="0.3">
      <c r="A76" s="47" t="s">
        <v>66</v>
      </c>
      <c r="B76" s="47"/>
    </row>
    <row r="77" spans="1:8" x14ac:dyDescent="0.3">
      <c r="A77">
        <v>0.3</v>
      </c>
    </row>
    <row r="78" spans="1:8" x14ac:dyDescent="0.3">
      <c r="A78">
        <v>1</v>
      </c>
    </row>
    <row r="79" spans="1:8" x14ac:dyDescent="0.3">
      <c r="A79">
        <v>3</v>
      </c>
    </row>
  </sheetData>
  <protectedRanges>
    <protectedRange sqref="C8:D17 C19:D29 C31:D34 D37:D39 D42:D44 D47:D49" name="Range2_1_1"/>
  </protectedRanges>
  <mergeCells count="126">
    <mergeCell ref="A63:H63"/>
    <mergeCell ref="A64:H68"/>
    <mergeCell ref="A69:H69"/>
    <mergeCell ref="A70:H75"/>
    <mergeCell ref="A59:E59"/>
    <mergeCell ref="F59:H59"/>
    <mergeCell ref="A60:E60"/>
    <mergeCell ref="F60:H60"/>
    <mergeCell ref="A61:H61"/>
    <mergeCell ref="A62:E62"/>
    <mergeCell ref="F62:H62"/>
    <mergeCell ref="A56:B56"/>
    <mergeCell ref="C56:E56"/>
    <mergeCell ref="F56:H56"/>
    <mergeCell ref="A57:H57"/>
    <mergeCell ref="A58:E58"/>
    <mergeCell ref="F58:H58"/>
    <mergeCell ref="A54:B54"/>
    <mergeCell ref="C54:E54"/>
    <mergeCell ref="F54:H54"/>
    <mergeCell ref="A55:B55"/>
    <mergeCell ref="C55:E55"/>
    <mergeCell ref="F55:H55"/>
    <mergeCell ref="A51:H51"/>
    <mergeCell ref="A52:B52"/>
    <mergeCell ref="C52:E52"/>
    <mergeCell ref="F52:H52"/>
    <mergeCell ref="A53:B53"/>
    <mergeCell ref="C53:E53"/>
    <mergeCell ref="F53:H53"/>
    <mergeCell ref="A48:B48"/>
    <mergeCell ref="E48:H48"/>
    <mergeCell ref="A49:B49"/>
    <mergeCell ref="E49:H49"/>
    <mergeCell ref="A50:B50"/>
    <mergeCell ref="E50:H50"/>
    <mergeCell ref="A45:B45"/>
    <mergeCell ref="E45:H45"/>
    <mergeCell ref="A46:B46"/>
    <mergeCell ref="E46:H46"/>
    <mergeCell ref="A47:B47"/>
    <mergeCell ref="E47:H47"/>
    <mergeCell ref="A42:B42"/>
    <mergeCell ref="E42:H42"/>
    <mergeCell ref="A43:B43"/>
    <mergeCell ref="E43:H43"/>
    <mergeCell ref="A44:B44"/>
    <mergeCell ref="E44:H44"/>
    <mergeCell ref="A39:B39"/>
    <mergeCell ref="E39:H39"/>
    <mergeCell ref="A40:B40"/>
    <mergeCell ref="E40:H40"/>
    <mergeCell ref="A41:B41"/>
    <mergeCell ref="E41:H41"/>
    <mergeCell ref="A36:B36"/>
    <mergeCell ref="E36:H36"/>
    <mergeCell ref="A37:B37"/>
    <mergeCell ref="E37:H37"/>
    <mergeCell ref="A38:B38"/>
    <mergeCell ref="E38:H38"/>
    <mergeCell ref="A33:B33"/>
    <mergeCell ref="E33:H33"/>
    <mergeCell ref="A34:B34"/>
    <mergeCell ref="E34:H34"/>
    <mergeCell ref="A35:B35"/>
    <mergeCell ref="E35:H35"/>
    <mergeCell ref="A30:B30"/>
    <mergeCell ref="E30:H30"/>
    <mergeCell ref="A31:B31"/>
    <mergeCell ref="E31:H31"/>
    <mergeCell ref="A32:B32"/>
    <mergeCell ref="E32:H32"/>
    <mergeCell ref="A27:B27"/>
    <mergeCell ref="E27:H27"/>
    <mergeCell ref="A28:B28"/>
    <mergeCell ref="E28:H28"/>
    <mergeCell ref="A29:B29"/>
    <mergeCell ref="E29:H29"/>
    <mergeCell ref="A24:B24"/>
    <mergeCell ref="E24:H24"/>
    <mergeCell ref="A25:B25"/>
    <mergeCell ref="E25:H25"/>
    <mergeCell ref="A26:B26"/>
    <mergeCell ref="E26:H26"/>
    <mergeCell ref="A21:B21"/>
    <mergeCell ref="E21:H21"/>
    <mergeCell ref="A22:B22"/>
    <mergeCell ref="E22:H22"/>
    <mergeCell ref="A23:B23"/>
    <mergeCell ref="E23:H23"/>
    <mergeCell ref="A18:B18"/>
    <mergeCell ref="E18:H18"/>
    <mergeCell ref="A19:B19"/>
    <mergeCell ref="E19:H19"/>
    <mergeCell ref="A20:B20"/>
    <mergeCell ref="E20:H20"/>
    <mergeCell ref="A16:B16"/>
    <mergeCell ref="E16:H16"/>
    <mergeCell ref="A17:B17"/>
    <mergeCell ref="E17:H17"/>
    <mergeCell ref="A12:B12"/>
    <mergeCell ref="E12:H12"/>
    <mergeCell ref="A13:B13"/>
    <mergeCell ref="E13:H13"/>
    <mergeCell ref="A14:B14"/>
    <mergeCell ref="E14:H14"/>
    <mergeCell ref="A11:B11"/>
    <mergeCell ref="E11:H11"/>
    <mergeCell ref="B5:D5"/>
    <mergeCell ref="A6:H6"/>
    <mergeCell ref="A7:B7"/>
    <mergeCell ref="E7:H7"/>
    <mergeCell ref="A8:B8"/>
    <mergeCell ref="E8:H8"/>
    <mergeCell ref="A15:B15"/>
    <mergeCell ref="E15:H15"/>
    <mergeCell ref="A1:H1"/>
    <mergeCell ref="F2:H2"/>
    <mergeCell ref="B3:D3"/>
    <mergeCell ref="F3:H3"/>
    <mergeCell ref="B4:D4"/>
    <mergeCell ref="F4:H4"/>
    <mergeCell ref="A9:B9"/>
    <mergeCell ref="E9:H9"/>
    <mergeCell ref="A10:B10"/>
    <mergeCell ref="E10:H10"/>
  </mergeCells>
  <conditionalFormatting sqref="I8:I16">
    <cfRule type="containsText" dxfId="5" priority="12" operator="containsText" text="Verifique">
      <formula>NOT(ISERROR(SEARCH("Verifique",I8)))</formula>
    </cfRule>
  </conditionalFormatting>
  <conditionalFormatting sqref="I19:I28">
    <cfRule type="containsText" dxfId="4" priority="5" operator="containsText" text="Verifique">
      <formula>NOT(ISERROR(SEARCH("Verifique",I19)))</formula>
    </cfRule>
  </conditionalFormatting>
  <conditionalFormatting sqref="I31:I34">
    <cfRule type="containsText" dxfId="3" priority="4" operator="containsText" text="Verifique">
      <formula>NOT(ISERROR(SEARCH("Verifique",I31)))</formula>
    </cfRule>
  </conditionalFormatting>
  <conditionalFormatting sqref="I37:I39">
    <cfRule type="containsText" dxfId="2" priority="3" operator="containsText" text="Verifique">
      <formula>NOT(ISERROR(SEARCH("Verifique",I37)))</formula>
    </cfRule>
  </conditionalFormatting>
  <conditionalFormatting sqref="I42:I44">
    <cfRule type="containsText" dxfId="1" priority="2" operator="containsText" text="Verifique">
      <formula>NOT(ISERROR(SEARCH("Verifique",I42)))</formula>
    </cfRule>
  </conditionalFormatting>
  <conditionalFormatting sqref="I47:I49">
    <cfRule type="containsText" dxfId="0" priority="1" operator="containsText" text="Verifique">
      <formula>NOT(ISERROR(SEARCH("Verifique",I47)))</formula>
    </cfRule>
  </conditionalFormatting>
  <dataValidations count="1">
    <dataValidation type="list" allowBlank="1" showInputMessage="1" showErrorMessage="1" sqref="D8:D16 D47:D49 D42:D44 D37:D39 D31:D34 D19:D28" xr:uid="{6B9E119E-CD3A-4B95-A924-011C8E3B01AD}">
      <formula1>$A$77:$A$79</formula1>
    </dataValidation>
  </dataValidation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25">
    <tabColor theme="5" tint="0.39997558519241921"/>
  </sheetPr>
  <dimension ref="A2:M98"/>
  <sheetViews>
    <sheetView showGridLines="0" zoomScaleNormal="100" zoomScaleSheetLayoutView="100" workbookViewId="0">
      <selection activeCell="C12" sqref="C12"/>
    </sheetView>
  </sheetViews>
  <sheetFormatPr defaultColWidth="9.21875" defaultRowHeight="16.5" customHeight="1" x14ac:dyDescent="0.3"/>
  <cols>
    <col min="1" max="1" width="9.21875" style="2"/>
    <col min="2" max="2" width="34.21875" style="2" bestFit="1" customWidth="1"/>
    <col min="3" max="5" width="9.21875" style="28" bestFit="1" customWidth="1"/>
    <col min="6" max="8" width="9.21875" style="28"/>
    <col min="9" max="9" width="9.21875" style="18"/>
    <col min="10" max="16384" width="9.21875" style="2"/>
  </cols>
  <sheetData>
    <row r="2" spans="1:13" ht="16.5" customHeight="1" x14ac:dyDescent="0.3">
      <c r="C2" s="28" t="s">
        <v>69</v>
      </c>
      <c r="D2" s="28" t="s">
        <v>70</v>
      </c>
      <c r="E2" s="28" t="s">
        <v>71</v>
      </c>
      <c r="F2" s="28" t="s">
        <v>72</v>
      </c>
      <c r="G2" s="28" t="s">
        <v>73</v>
      </c>
      <c r="H2" s="28" t="s">
        <v>74</v>
      </c>
      <c r="I2" s="37" t="str">
        <f>IF('seg (5)'!F3="n/a","w5 não aplicável")</f>
        <v>w5 não aplicável</v>
      </c>
    </row>
    <row r="3" spans="1:13" ht="16.5" customHeight="1" x14ac:dyDescent="0.3">
      <c r="A3" s="2">
        <f t="shared" ref="A3:A8" si="0">IF(C3=0%,0,1)</f>
        <v>1</v>
      </c>
      <c r="B3" s="2" t="s">
        <v>75</v>
      </c>
      <c r="C3" s="33" t="str">
        <f>IFERROR(AVERAGE(D3:H3),"-")</f>
        <v>-</v>
      </c>
      <c r="D3" s="33" t="str">
        <f>'seg (1)'!$F$62</f>
        <v>-</v>
      </c>
      <c r="E3" s="33" t="str">
        <f>'seg (2)'!$F$62</f>
        <v>-</v>
      </c>
      <c r="F3" s="33" t="str">
        <f>'seg (3)'!$F$62</f>
        <v>-</v>
      </c>
      <c r="G3" s="33" t="str">
        <f>'seg (4)'!$F$62</f>
        <v>-</v>
      </c>
      <c r="H3" s="33" t="str">
        <f>'seg (5)'!$F$62</f>
        <v>-</v>
      </c>
      <c r="I3" s="38"/>
      <c r="J3"/>
      <c r="K3"/>
      <c r="L3"/>
      <c r="M3"/>
    </row>
    <row r="4" spans="1:13" ht="16.5" customHeight="1" x14ac:dyDescent="0.3">
      <c r="A4" s="2">
        <f t="shared" si="0"/>
        <v>1</v>
      </c>
      <c r="B4" s="2" t="s">
        <v>76</v>
      </c>
      <c r="C4" s="33" t="str">
        <f t="shared" ref="C4:C9" si="1">IFERROR(AVERAGE(D4:H4),"-")</f>
        <v>-</v>
      </c>
      <c r="D4" s="33" t="str">
        <f>'ter (1)'!$F$62</f>
        <v>-</v>
      </c>
      <c r="E4" s="33" t="str">
        <f>'ter (2)'!$F$62</f>
        <v>-</v>
      </c>
      <c r="F4" s="33" t="str">
        <f>'ter (3)'!$F$62</f>
        <v>-</v>
      </c>
      <c r="G4" s="33" t="str">
        <f>'ter (4)'!$F$62</f>
        <v>-</v>
      </c>
      <c r="H4" s="33" t="str">
        <f>'ter (5)'!$F$62</f>
        <v>-</v>
      </c>
      <c r="I4" s="38"/>
      <c r="J4"/>
      <c r="K4"/>
      <c r="L4"/>
      <c r="M4"/>
    </row>
    <row r="5" spans="1:13" ht="16.5" customHeight="1" x14ac:dyDescent="0.3">
      <c r="A5" s="2">
        <f t="shared" si="0"/>
        <v>1</v>
      </c>
      <c r="B5" s="2" t="s">
        <v>77</v>
      </c>
      <c r="C5" s="33" t="str">
        <f t="shared" si="1"/>
        <v>-</v>
      </c>
      <c r="D5" s="33" t="str">
        <f>'qua (1)'!$F$62</f>
        <v>-</v>
      </c>
      <c r="E5" s="33" t="str">
        <f>'qua (2)'!$F$62</f>
        <v>-</v>
      </c>
      <c r="F5" s="33" t="str">
        <f>'qua (3)'!$F$62</f>
        <v>-</v>
      </c>
      <c r="G5" s="33" t="str">
        <f>'qua (4)'!$F$62</f>
        <v>-</v>
      </c>
      <c r="H5" s="33" t="str">
        <f>'qua (5)'!$F$62</f>
        <v>-</v>
      </c>
      <c r="I5" s="38"/>
      <c r="J5"/>
      <c r="K5"/>
      <c r="L5"/>
      <c r="M5"/>
    </row>
    <row r="6" spans="1:13" ht="16.5" customHeight="1" x14ac:dyDescent="0.3">
      <c r="A6" s="2">
        <f t="shared" si="0"/>
        <v>1</v>
      </c>
      <c r="B6" s="2" t="s">
        <v>78</v>
      </c>
      <c r="C6" s="33" t="str">
        <f t="shared" si="1"/>
        <v>-</v>
      </c>
      <c r="D6" s="33" t="str">
        <f>'qui (1)'!$F$62</f>
        <v>-</v>
      </c>
      <c r="E6" s="33" t="str">
        <f>'qui (2)'!$F$62</f>
        <v>-</v>
      </c>
      <c r="F6" s="33" t="str">
        <f>'qui (3)'!$F$62</f>
        <v>-</v>
      </c>
      <c r="G6" s="33" t="str">
        <f>'qui (4)'!$F$62</f>
        <v>-</v>
      </c>
      <c r="H6" s="33" t="str">
        <f>'qui (5)'!$F$62</f>
        <v>-</v>
      </c>
      <c r="I6" s="38"/>
      <c r="J6"/>
      <c r="K6"/>
      <c r="L6"/>
      <c r="M6"/>
    </row>
    <row r="7" spans="1:13" ht="16.5" customHeight="1" x14ac:dyDescent="0.3">
      <c r="A7" s="2">
        <f t="shared" si="0"/>
        <v>1</v>
      </c>
      <c r="B7" s="2" t="s">
        <v>79</v>
      </c>
      <c r="C7" s="33" t="str">
        <f t="shared" si="1"/>
        <v>-</v>
      </c>
      <c r="D7" s="33" t="str">
        <f>'sex (1)'!$F$62</f>
        <v>-</v>
      </c>
      <c r="E7" s="33" t="str">
        <f>'sex (2)'!$F$62</f>
        <v>-</v>
      </c>
      <c r="F7" s="33" t="str">
        <f>'sex (3)'!$F$62</f>
        <v>-</v>
      </c>
      <c r="G7" s="33" t="str">
        <f>'sex (4)'!$F$62</f>
        <v>-</v>
      </c>
      <c r="H7" s="33" t="str">
        <f>'sex (5)'!$F$62</f>
        <v>-</v>
      </c>
      <c r="I7" s="38"/>
      <c r="J7"/>
      <c r="K7"/>
      <c r="L7"/>
      <c r="M7"/>
    </row>
    <row r="8" spans="1:13" ht="16.5" customHeight="1" x14ac:dyDescent="0.3">
      <c r="A8" s="2">
        <f t="shared" si="0"/>
        <v>1</v>
      </c>
      <c r="B8" s="2" t="s">
        <v>80</v>
      </c>
      <c r="C8" s="33" t="str">
        <f t="shared" si="1"/>
        <v>-</v>
      </c>
      <c r="D8" s="33" t="str">
        <f>'sab (1)'!$F$62</f>
        <v>-</v>
      </c>
      <c r="E8" s="33" t="str">
        <f>'sab (2)'!$F$62</f>
        <v>-</v>
      </c>
      <c r="F8" s="33" t="str">
        <f>'sab (3)'!$F$62</f>
        <v>-</v>
      </c>
      <c r="G8" s="33" t="str">
        <f>'sab (4)'!$F$62</f>
        <v>-</v>
      </c>
      <c r="H8" s="33" t="str">
        <f>'sab (5)'!$F$62</f>
        <v>-</v>
      </c>
      <c r="I8" s="38"/>
      <c r="J8"/>
      <c r="K8"/>
      <c r="L8"/>
      <c r="M8"/>
    </row>
    <row r="9" spans="1:13" ht="16.5" customHeight="1" x14ac:dyDescent="0.3">
      <c r="B9" s="2" t="s">
        <v>69</v>
      </c>
      <c r="C9" s="33" t="str">
        <f t="shared" si="1"/>
        <v>-</v>
      </c>
      <c r="D9" s="33" t="str">
        <f t="shared" ref="D9:H9" si="2">IFERROR(AVERAGE(D3:D8),"-")</f>
        <v>-</v>
      </c>
      <c r="E9" s="33" t="str">
        <f t="shared" si="2"/>
        <v>-</v>
      </c>
      <c r="F9" s="33" t="str">
        <f t="shared" si="2"/>
        <v>-</v>
      </c>
      <c r="G9" s="33" t="str">
        <f t="shared" si="2"/>
        <v>-</v>
      </c>
      <c r="H9" s="33" t="str">
        <f t="shared" si="2"/>
        <v>-</v>
      </c>
      <c r="I9" s="38"/>
      <c r="J9"/>
      <c r="K9"/>
      <c r="L9"/>
      <c r="M9"/>
    </row>
    <row r="11" spans="1:13" ht="16.5" customHeight="1" x14ac:dyDescent="0.3">
      <c r="C11" s="28" t="s">
        <v>81</v>
      </c>
      <c r="D11" s="28" t="s">
        <v>70</v>
      </c>
      <c r="E11" s="28" t="s">
        <v>71</v>
      </c>
      <c r="F11" s="28" t="s">
        <v>72</v>
      </c>
      <c r="G11" s="28" t="s">
        <v>73</v>
      </c>
      <c r="H11" s="28" t="s">
        <v>74</v>
      </c>
      <c r="I11" s="37" t="str">
        <f>I2</f>
        <v>w5 não aplicável</v>
      </c>
    </row>
    <row r="12" spans="1:13" ht="16.5" customHeight="1" x14ac:dyDescent="0.3">
      <c r="B12" s="2" t="s">
        <v>75</v>
      </c>
      <c r="C12" s="29">
        <f>SUM(D12:H12)</f>
        <v>0</v>
      </c>
      <c r="D12" s="29">
        <f>'seg (1)'!$H$5</f>
        <v>0</v>
      </c>
      <c r="E12" s="29">
        <f>'seg (2)'!$H$5</f>
        <v>0</v>
      </c>
      <c r="F12" s="29">
        <f>'seg (3)'!$H$5</f>
        <v>0</v>
      </c>
      <c r="G12" s="29">
        <f>'seg (4)'!$H$5</f>
        <v>0</v>
      </c>
      <c r="H12" s="29" t="str">
        <f>IF(I2="w5 não aplicável","-",'seg (5)'!$H$5)</f>
        <v>-</v>
      </c>
    </row>
    <row r="13" spans="1:13" ht="16.5" customHeight="1" x14ac:dyDescent="0.3">
      <c r="B13" s="2" t="s">
        <v>76</v>
      </c>
      <c r="C13" s="29">
        <f t="shared" ref="C13:C18" si="3">SUM(D13:H13)</f>
        <v>0</v>
      </c>
      <c r="D13" s="29">
        <f>'ter (1)'!$H$5</f>
        <v>0</v>
      </c>
      <c r="E13" s="29">
        <f>'ter (2)'!$H$5</f>
        <v>0</v>
      </c>
      <c r="F13" s="29">
        <f>'ter (3)'!$H$5</f>
        <v>0</v>
      </c>
      <c r="G13" s="29">
        <f>'ter (4)'!$H$5</f>
        <v>0</v>
      </c>
      <c r="H13" s="29" t="str">
        <f>IF(I2="w5 não aplicável","-",'ter (5)'!$H$5)</f>
        <v>-</v>
      </c>
    </row>
    <row r="14" spans="1:13" ht="16.5" customHeight="1" x14ac:dyDescent="0.3">
      <c r="B14" s="2" t="s">
        <v>77</v>
      </c>
      <c r="C14" s="29">
        <f t="shared" si="3"/>
        <v>0</v>
      </c>
      <c r="D14" s="29">
        <f>'qua (1)'!$H$5</f>
        <v>0</v>
      </c>
      <c r="E14" s="29">
        <f>'qua (2)'!$H$5</f>
        <v>0</v>
      </c>
      <c r="F14" s="29">
        <f>'qua (3)'!$H$5</f>
        <v>0</v>
      </c>
      <c r="G14" s="29">
        <f>'qua (4)'!$H$5</f>
        <v>0</v>
      </c>
      <c r="H14" s="29" t="str">
        <f>IF(I2="w5 não aplicável","-",'qua (5)'!$H$5)</f>
        <v>-</v>
      </c>
    </row>
    <row r="15" spans="1:13" ht="16.5" customHeight="1" x14ac:dyDescent="0.3">
      <c r="B15" s="2" t="s">
        <v>78</v>
      </c>
      <c r="C15" s="29">
        <f t="shared" si="3"/>
        <v>0</v>
      </c>
      <c r="D15" s="29">
        <f>'qui (1)'!$H$5</f>
        <v>0</v>
      </c>
      <c r="E15" s="29">
        <f>'qui (2)'!$H$5</f>
        <v>0</v>
      </c>
      <c r="F15" s="29">
        <f>'qui (3)'!$H$5</f>
        <v>0</v>
      </c>
      <c r="G15" s="29">
        <f>'qui (4)'!$H$5</f>
        <v>0</v>
      </c>
      <c r="H15" s="29" t="str">
        <f>IF(I2="w5 não aplicável","-",'qui (5)'!$H$5)</f>
        <v>-</v>
      </c>
    </row>
    <row r="16" spans="1:13" ht="16.5" customHeight="1" x14ac:dyDescent="0.3">
      <c r="B16" s="2" t="s">
        <v>79</v>
      </c>
      <c r="C16" s="29">
        <f t="shared" si="3"/>
        <v>0</v>
      </c>
      <c r="D16" s="29">
        <f>'sex (1)'!$H$5</f>
        <v>0</v>
      </c>
      <c r="E16" s="29">
        <f>'sex (2)'!$H$5</f>
        <v>0</v>
      </c>
      <c r="F16" s="29">
        <f>'sex (3)'!$H$5</f>
        <v>0</v>
      </c>
      <c r="G16" s="29">
        <f>'sex (4)'!$H$5</f>
        <v>0</v>
      </c>
      <c r="H16" s="29" t="str">
        <f>IF(I2="w5 não aplicável","-",'sex (5)'!$H$5)</f>
        <v>-</v>
      </c>
    </row>
    <row r="17" spans="2:9" ht="16.5" customHeight="1" x14ac:dyDescent="0.3">
      <c r="B17" s="2" t="s">
        <v>80</v>
      </c>
      <c r="C17" s="29">
        <f t="shared" si="3"/>
        <v>0</v>
      </c>
      <c r="D17" s="29">
        <f>'sab (1)'!$H$5</f>
        <v>0</v>
      </c>
      <c r="E17" s="29">
        <f>'sab (2)'!$H$5</f>
        <v>0</v>
      </c>
      <c r="F17" s="29">
        <f>'sab (3)'!$H$5</f>
        <v>0</v>
      </c>
      <c r="G17" s="29">
        <f>'sab (4)'!$H$5</f>
        <v>0</v>
      </c>
      <c r="H17" s="29" t="str">
        <f>IF(I2="w5 não aplicável","-",'sab (5)'!$H$5)</f>
        <v>-</v>
      </c>
    </row>
    <row r="18" spans="2:9" ht="16.5" customHeight="1" x14ac:dyDescent="0.3">
      <c r="B18" s="18" t="s">
        <v>81</v>
      </c>
      <c r="C18" s="29">
        <f t="shared" si="3"/>
        <v>0</v>
      </c>
      <c r="D18" s="29">
        <f t="shared" ref="D18:G18" si="4">SUM(D12:D17)</f>
        <v>0</v>
      </c>
      <c r="E18" s="29">
        <f t="shared" si="4"/>
        <v>0</v>
      </c>
      <c r="F18" s="29">
        <f t="shared" si="4"/>
        <v>0</v>
      </c>
      <c r="G18" s="29">
        <f t="shared" si="4"/>
        <v>0</v>
      </c>
      <c r="H18" s="29" t="str">
        <f>IF(I2="w5 não aplicável","-",SUM(H12:H17))</f>
        <v>-</v>
      </c>
    </row>
    <row r="21" spans="2:9" ht="16.5" customHeight="1" x14ac:dyDescent="0.3">
      <c r="C21" s="28" t="s">
        <v>81</v>
      </c>
      <c r="D21" s="28" t="s">
        <v>70</v>
      </c>
      <c r="E21" s="28" t="s">
        <v>71</v>
      </c>
      <c r="F21" s="28" t="s">
        <v>72</v>
      </c>
      <c r="G21" s="28" t="s">
        <v>73</v>
      </c>
      <c r="H21" s="28" t="s">
        <v>74</v>
      </c>
      <c r="I21" s="37" t="str">
        <f>I2</f>
        <v>w5 não aplicável</v>
      </c>
    </row>
    <row r="22" spans="2:9" ht="16.5" customHeight="1" x14ac:dyDescent="0.3">
      <c r="B22" s="2" t="s">
        <v>75</v>
      </c>
      <c r="C22" s="28">
        <f>SUM(D22:H22)</f>
        <v>0</v>
      </c>
      <c r="D22" s="28">
        <f>'seg (1)'!$C$56</f>
        <v>0</v>
      </c>
      <c r="E22" s="28">
        <f>'seg (2)'!$C$56</f>
        <v>0</v>
      </c>
      <c r="F22" s="28">
        <f>'seg (3)'!$C$56</f>
        <v>0</v>
      </c>
      <c r="G22" s="28">
        <f>'seg (4)'!$C$56</f>
        <v>0</v>
      </c>
      <c r="H22" s="28" t="str">
        <f>IF(I2="w5 não aplicável","-",'seg (5)'!$C$56)</f>
        <v>-</v>
      </c>
    </row>
    <row r="23" spans="2:9" ht="16.5" customHeight="1" x14ac:dyDescent="0.3">
      <c r="B23" s="2" t="s">
        <v>76</v>
      </c>
      <c r="C23" s="28">
        <f t="shared" ref="C23:C28" si="5">SUM(D23:H23)</f>
        <v>0</v>
      </c>
      <c r="D23" s="28">
        <f>'ter (1)'!$C$56</f>
        <v>0</v>
      </c>
      <c r="E23" s="28">
        <f>'ter (2)'!$C$56</f>
        <v>0</v>
      </c>
      <c r="F23" s="28">
        <f>'ter (3)'!$C$56</f>
        <v>0</v>
      </c>
      <c r="G23" s="28">
        <f>'ter (4)'!$C$56</f>
        <v>0</v>
      </c>
      <c r="H23" s="28" t="str">
        <f>IF(I2="w5 não aplicável","-",'ter (5)'!$C$56)</f>
        <v>-</v>
      </c>
    </row>
    <row r="24" spans="2:9" ht="16.5" customHeight="1" x14ac:dyDescent="0.3">
      <c r="B24" s="2" t="s">
        <v>77</v>
      </c>
      <c r="C24" s="28">
        <f t="shared" si="5"/>
        <v>0</v>
      </c>
      <c r="D24" s="28">
        <f>'qua (1)'!$C$56</f>
        <v>0</v>
      </c>
      <c r="E24" s="28">
        <f>'qua (2)'!$C$56</f>
        <v>0</v>
      </c>
      <c r="F24" s="28">
        <f>'qua (3)'!$C$56</f>
        <v>0</v>
      </c>
      <c r="G24" s="28">
        <f>'qua (4)'!$C$56</f>
        <v>0</v>
      </c>
      <c r="H24" s="28" t="str">
        <f>IF(I2="w5 não aplicável","-",'qua (5)'!$C$56)</f>
        <v>-</v>
      </c>
    </row>
    <row r="25" spans="2:9" ht="16.5" customHeight="1" x14ac:dyDescent="0.3">
      <c r="B25" s="2" t="s">
        <v>78</v>
      </c>
      <c r="C25" s="28">
        <f t="shared" si="5"/>
        <v>0</v>
      </c>
      <c r="D25" s="28">
        <f>'qui (1)'!$C$56</f>
        <v>0</v>
      </c>
      <c r="E25" s="28">
        <f>'qui (2)'!$C$56</f>
        <v>0</v>
      </c>
      <c r="F25" s="28">
        <f>'qui (3)'!$C$56</f>
        <v>0</v>
      </c>
      <c r="G25" s="28">
        <f>'qui (4)'!$C$56</f>
        <v>0</v>
      </c>
      <c r="H25" s="28" t="str">
        <f>IF(I2="w5 não aplicável","-",'qui (5)'!$C$56)</f>
        <v>-</v>
      </c>
    </row>
    <row r="26" spans="2:9" ht="16.5" customHeight="1" x14ac:dyDescent="0.3">
      <c r="B26" s="2" t="s">
        <v>79</v>
      </c>
      <c r="C26" s="28">
        <f t="shared" si="5"/>
        <v>0</v>
      </c>
      <c r="D26" s="28">
        <f>'sex (1)'!$C$56</f>
        <v>0</v>
      </c>
      <c r="E26" s="28">
        <f>'sex (2)'!$C$56</f>
        <v>0</v>
      </c>
      <c r="F26" s="28">
        <f>'sex (3)'!$C$56</f>
        <v>0</v>
      </c>
      <c r="G26" s="28">
        <f>'sex (4)'!$C$56</f>
        <v>0</v>
      </c>
      <c r="H26" s="28" t="str">
        <f>IF(I2="w5 não aplicável","-",'sex (5)'!$C$56)</f>
        <v>-</v>
      </c>
    </row>
    <row r="27" spans="2:9" ht="16.5" customHeight="1" x14ac:dyDescent="0.3">
      <c r="B27" s="2" t="s">
        <v>80</v>
      </c>
      <c r="C27" s="28">
        <f t="shared" si="5"/>
        <v>0</v>
      </c>
      <c r="D27" s="28">
        <f>'sab (1)'!$C$56</f>
        <v>0</v>
      </c>
      <c r="E27" s="28">
        <f>'sab (2)'!$C$56</f>
        <v>0</v>
      </c>
      <c r="F27" s="28">
        <f>'sab (3)'!$C$56</f>
        <v>0</v>
      </c>
      <c r="G27" s="28">
        <f>'sab (4)'!$C$56</f>
        <v>0</v>
      </c>
      <c r="H27" s="28" t="str">
        <f>IF(I2="w5 não aplicável","-",'sab (5)'!$C$56)</f>
        <v>-</v>
      </c>
    </row>
    <row r="28" spans="2:9" ht="16.5" customHeight="1" x14ac:dyDescent="0.3">
      <c r="B28" s="18" t="s">
        <v>81</v>
      </c>
      <c r="C28" s="28">
        <f t="shared" si="5"/>
        <v>0</v>
      </c>
      <c r="D28" s="28">
        <f t="shared" ref="D28:G28" si="6">SUM(D22:D27)</f>
        <v>0</v>
      </c>
      <c r="E28" s="28">
        <f t="shared" si="6"/>
        <v>0</v>
      </c>
      <c r="F28" s="28">
        <f t="shared" si="6"/>
        <v>0</v>
      </c>
      <c r="G28" s="28">
        <f t="shared" si="6"/>
        <v>0</v>
      </c>
      <c r="H28" s="28" t="str">
        <f>IF(I2="w5 não aplicável","-",SUM(H22:H27))</f>
        <v>-</v>
      </c>
    </row>
    <row r="30" spans="2:9" ht="16.5" customHeight="1" x14ac:dyDescent="0.3">
      <c r="B30" s="16" t="s">
        <v>82</v>
      </c>
      <c r="C30" s="28" t="s">
        <v>81</v>
      </c>
      <c r="D30" s="28" t="s">
        <v>70</v>
      </c>
      <c r="E30" s="28" t="s">
        <v>71</v>
      </c>
      <c r="F30" s="28" t="s">
        <v>72</v>
      </c>
      <c r="G30" s="28" t="s">
        <v>73</v>
      </c>
      <c r="H30" s="28" t="s">
        <v>74</v>
      </c>
      <c r="I30" s="37" t="str">
        <f>I2</f>
        <v>w5 não aplicável</v>
      </c>
    </row>
    <row r="31" spans="2:9" ht="16.5" customHeight="1" x14ac:dyDescent="0.3">
      <c r="B31" s="17" t="s">
        <v>83</v>
      </c>
      <c r="C31" s="28">
        <f>SUM(D31:H31)</f>
        <v>0</v>
      </c>
      <c r="D31" s="34">
        <f>'seg (1)'!$C$53+'ter (1)'!$C$53+'qua (1)'!$C$53+'qui (1)'!$C$53+'sex (1)'!$C$53+'sab (1)'!$C$53</f>
        <v>0</v>
      </c>
      <c r="E31" s="34">
        <f>'seg (2)'!$C$53+'ter (2)'!$C$53+'qua (2)'!$C$53+'qui (2)'!$C$53+'sex (2)'!$C$53+'sab (2)'!$C$53</f>
        <v>0</v>
      </c>
      <c r="F31" s="34">
        <f>'seg (3)'!$C$53+'ter (3)'!$C$53+'qua (3)'!$C$53+'qui (3)'!$C$53+'sex (3)'!$C$53+'sab (3)'!$C$53</f>
        <v>0</v>
      </c>
      <c r="G31" s="34">
        <f>'seg (4)'!$C$53+'ter (4)'!$C$53+'qua (4)'!$C$53+'qui (4)'!$C$53+'sex (4)'!$C$53+'sab (4)'!$C$53</f>
        <v>0</v>
      </c>
      <c r="H31" s="34" t="str">
        <f>IF(I2="w5 não aplicável","-",'seg (5)'!$C$53+'ter (5)'!$C$53+'qua (5)'!$C$53+'qui (5)'!$C$53+'sex (5)'!$C$53+'sab (5)'!$C$53)</f>
        <v>-</v>
      </c>
    </row>
    <row r="32" spans="2:9" ht="16.5" customHeight="1" x14ac:dyDescent="0.3">
      <c r="B32" s="17" t="s">
        <v>84</v>
      </c>
      <c r="C32" s="28">
        <f t="shared" ref="C32:C34" si="7">SUM(D32:H32)</f>
        <v>0</v>
      </c>
      <c r="D32" s="34">
        <f>'seg (1)'!$C$54+'ter (1)'!$C$54+'qua (1)'!$C$54+'qui (1)'!$C$54+'sex (1)'!$C$54+'sab (1)'!$C$54</f>
        <v>0</v>
      </c>
      <c r="E32" s="34">
        <f>'seg (2)'!$C$54+'ter (2)'!$C$54+'qua (2)'!$C$54+'qui (2)'!$C$54+'sex (2)'!$C$54+'sab (2)'!$C$54</f>
        <v>0</v>
      </c>
      <c r="F32" s="34">
        <f>'seg (3)'!$C$54+'ter (3)'!$C$54+'qua (3)'!$C$54+'qui (3)'!$C$54+'sex (3)'!$C$54+'sab (3)'!$C$54</f>
        <v>0</v>
      </c>
      <c r="G32" s="34">
        <f>'seg (4)'!$C$54+'ter (4)'!$C$54+'qua (4)'!$C$54+'qui (4)'!$C$54+'sex (4)'!$C$54+'sab (4)'!$C$54</f>
        <v>0</v>
      </c>
      <c r="H32" s="34" t="str">
        <f>IF(I2="w5 não aplicável","-",'seg (5)'!$C$55+'ter (5)'!$C$55+'qua (5)'!$C$55+'qui (5)'!$C$55+'sex (5)'!$C$55+'sab (5)'!$C$55)</f>
        <v>-</v>
      </c>
    </row>
    <row r="33" spans="2:10" ht="16.5" customHeight="1" x14ac:dyDescent="0.3">
      <c r="B33" s="17" t="s">
        <v>85</v>
      </c>
      <c r="C33" s="28">
        <f t="shared" si="7"/>
        <v>0</v>
      </c>
      <c r="D33" s="34">
        <f>'seg (1)'!$C$55+'ter (1)'!$C$55+'qua (1)'!$C$55+'qui (1)'!$C$55+'sex (1)'!$C$55+'sab (1)'!$C$55</f>
        <v>0</v>
      </c>
      <c r="E33" s="34">
        <f>'seg (2)'!$C$55+'ter (2)'!$C$55+'qua (2)'!$C$55+'qui (2)'!$C$55+'sex (2)'!$C$55+'sab (2)'!$C$55</f>
        <v>0</v>
      </c>
      <c r="F33" s="34">
        <f>'seg (3)'!$C$55+'ter (3)'!$C$55+'qua (3)'!$C$55+'qui (3)'!$C$55+'sex (3)'!$C$55+'sab (3)'!$C$55</f>
        <v>0</v>
      </c>
      <c r="G33" s="34">
        <f>'seg (4)'!$C$55+'ter (4)'!$C$55+'qua (4)'!$C$55+'qui (4)'!$C$55+'sex (4)'!$C$55+'sab (4)'!$C$55</f>
        <v>0</v>
      </c>
      <c r="H33" s="34" t="str">
        <f>IF(I2="w5 não aplicável","-",'seg (5)'!$C$55+'ter (5)'!$C$55+'qua (5)'!$C$55+'qui (5)'!$C$55+'sex (5)'!$C$55+'sab (5)'!$C$55)</f>
        <v>-</v>
      </c>
    </row>
    <row r="34" spans="2:10" ht="16.5" customHeight="1" x14ac:dyDescent="0.3">
      <c r="B34" s="17" t="s">
        <v>81</v>
      </c>
      <c r="C34" s="28">
        <f t="shared" si="7"/>
        <v>0</v>
      </c>
      <c r="D34" s="28">
        <f>SUM(D31:D33)</f>
        <v>0</v>
      </c>
      <c r="E34" s="28">
        <f>SUM(E31:E33)</f>
        <v>0</v>
      </c>
      <c r="F34" s="28">
        <f>SUM(F31:F33)</f>
        <v>0</v>
      </c>
      <c r="G34" s="28">
        <f>SUM(G31:G33)</f>
        <v>0</v>
      </c>
      <c r="H34" s="28" t="str">
        <f>IF(I2="w5 não aplicável","-",SUM(H31:H33))</f>
        <v>-</v>
      </c>
    </row>
    <row r="36" spans="2:10" ht="16.5" customHeight="1" x14ac:dyDescent="0.3">
      <c r="C36" s="28" t="s">
        <v>81</v>
      </c>
      <c r="D36" s="28" t="s">
        <v>70</v>
      </c>
      <c r="E36" s="28" t="s">
        <v>71</v>
      </c>
      <c r="F36" s="28" t="s">
        <v>72</v>
      </c>
      <c r="G36" s="28" t="s">
        <v>73</v>
      </c>
      <c r="H36" s="28" t="s">
        <v>74</v>
      </c>
      <c r="I36" s="37" t="str">
        <f>I2</f>
        <v>w5 não aplicável</v>
      </c>
    </row>
    <row r="37" spans="2:10" ht="16.5" customHeight="1" x14ac:dyDescent="0.3">
      <c r="B37" s="17" t="s">
        <v>83</v>
      </c>
      <c r="C37" s="35" t="e">
        <f>C31/C34</f>
        <v>#DIV/0!</v>
      </c>
      <c r="D37" s="35" t="e">
        <f>D31/D34</f>
        <v>#DIV/0!</v>
      </c>
      <c r="E37" s="35" t="e">
        <f>E31/E34</f>
        <v>#DIV/0!</v>
      </c>
      <c r="F37" s="35" t="e">
        <f>F31/F34</f>
        <v>#DIV/0!</v>
      </c>
      <c r="G37" s="35" t="e">
        <f>G31/G34</f>
        <v>#DIV/0!</v>
      </c>
      <c r="H37" s="35" t="str">
        <f>IF(I2="w5 não aplicável","-",H31/H34)</f>
        <v>-</v>
      </c>
    </row>
    <row r="38" spans="2:10" ht="16.5" customHeight="1" x14ac:dyDescent="0.3">
      <c r="B38" s="17" t="s">
        <v>84</v>
      </c>
      <c r="C38" s="35" t="e">
        <f>C32/C34</f>
        <v>#DIV/0!</v>
      </c>
      <c r="D38" s="35" t="e">
        <f>D32/D34</f>
        <v>#DIV/0!</v>
      </c>
      <c r="E38" s="35" t="e">
        <f>E32/E34</f>
        <v>#DIV/0!</v>
      </c>
      <c r="F38" s="35" t="e">
        <f>F32/F34</f>
        <v>#DIV/0!</v>
      </c>
      <c r="G38" s="35" t="e">
        <f>G32/G34</f>
        <v>#DIV/0!</v>
      </c>
      <c r="H38" s="35" t="str">
        <f>IF(I2="w5 não aplicável","-",H32/H34)</f>
        <v>-</v>
      </c>
    </row>
    <row r="39" spans="2:10" ht="16.5" customHeight="1" x14ac:dyDescent="0.3">
      <c r="B39" s="17" t="s">
        <v>85</v>
      </c>
      <c r="C39" s="35" t="e">
        <f>C33/C34</f>
        <v>#DIV/0!</v>
      </c>
      <c r="D39" s="35" t="e">
        <f>D33/D34</f>
        <v>#DIV/0!</v>
      </c>
      <c r="E39" s="35" t="e">
        <f>E33/E34</f>
        <v>#DIV/0!</v>
      </c>
      <c r="F39" s="35" t="e">
        <f>F33/F34</f>
        <v>#DIV/0!</v>
      </c>
      <c r="G39" s="35" t="e">
        <f>G33/G34</f>
        <v>#DIV/0!</v>
      </c>
      <c r="H39" s="35" t="str">
        <f>IF(I2="w5 não aplicável","-",H33/H34)</f>
        <v>-</v>
      </c>
    </row>
    <row r="40" spans="2:10" ht="16.5" customHeight="1" x14ac:dyDescent="0.3">
      <c r="B40" s="17"/>
      <c r="C40" s="35"/>
      <c r="D40" s="35"/>
      <c r="E40" s="35"/>
      <c r="F40" s="35"/>
      <c r="G40" s="35"/>
    </row>
    <row r="41" spans="2:10" ht="16.5" customHeight="1" x14ac:dyDescent="0.3">
      <c r="B41" s="2" t="s">
        <v>86</v>
      </c>
      <c r="C41" s="28" t="s">
        <v>81</v>
      </c>
      <c r="D41" s="28" t="s">
        <v>70</v>
      </c>
      <c r="E41" s="28" t="s">
        <v>71</v>
      </c>
      <c r="F41" s="28" t="s">
        <v>72</v>
      </c>
      <c r="G41" s="28" t="s">
        <v>73</v>
      </c>
      <c r="H41" s="28" t="s">
        <v>74</v>
      </c>
      <c r="I41" s="32" t="str">
        <f>I2</f>
        <v>w5 não aplicável</v>
      </c>
    </row>
    <row r="42" spans="2:10" ht="16.5" customHeight="1" x14ac:dyDescent="0.3">
      <c r="B42" s="11" t="s">
        <v>87</v>
      </c>
      <c r="C42" s="30">
        <f>SUM(Dados!$D$67:$H$67)</f>
        <v>0</v>
      </c>
      <c r="D42" s="28">
        <f>D67</f>
        <v>0</v>
      </c>
      <c r="E42" s="28">
        <f>E67</f>
        <v>0</v>
      </c>
      <c r="F42" s="28">
        <f>F67</f>
        <v>0</v>
      </c>
      <c r="G42" s="28">
        <f>G67</f>
        <v>0</v>
      </c>
      <c r="H42" s="28" t="str">
        <f>H67</f>
        <v>-</v>
      </c>
    </row>
    <row r="43" spans="2:10" ht="16.5" customHeight="1" x14ac:dyDescent="0.3">
      <c r="B43" s="11" t="s">
        <v>88</v>
      </c>
      <c r="C43" s="30">
        <f>SUM(Dados!$D$80:$H$80)</f>
        <v>0</v>
      </c>
      <c r="D43" s="28">
        <f>D80</f>
        <v>0</v>
      </c>
      <c r="E43" s="28">
        <f>E80</f>
        <v>0</v>
      </c>
      <c r="F43" s="28">
        <f>F80</f>
        <v>0</v>
      </c>
      <c r="G43" s="28">
        <f>G80</f>
        <v>0</v>
      </c>
      <c r="H43" s="28" t="str">
        <f>H80</f>
        <v>-</v>
      </c>
    </row>
    <row r="44" spans="2:10" ht="16.5" customHeight="1" x14ac:dyDescent="0.3">
      <c r="B44" s="11" t="s">
        <v>89</v>
      </c>
      <c r="C44" s="30">
        <f>SUM(Dados!$D$55:$H$55)</f>
        <v>0</v>
      </c>
      <c r="D44" s="28">
        <f>D55</f>
        <v>0</v>
      </c>
      <c r="E44" s="28">
        <f>E55</f>
        <v>0</v>
      </c>
      <c r="F44" s="28">
        <f>F55</f>
        <v>0</v>
      </c>
      <c r="G44" s="28">
        <f>G55</f>
        <v>0</v>
      </c>
      <c r="H44" s="28" t="str">
        <f>H55</f>
        <v>-</v>
      </c>
    </row>
    <row r="45" spans="2:10" ht="16.5" customHeight="1" x14ac:dyDescent="0.3">
      <c r="B45" s="11" t="s">
        <v>90</v>
      </c>
      <c r="C45" s="30">
        <f>SUM(Dados!$D$92:$H$92)</f>
        <v>0</v>
      </c>
      <c r="D45" s="28">
        <f>D92</f>
        <v>0</v>
      </c>
      <c r="E45" s="28">
        <f>E92</f>
        <v>0</v>
      </c>
      <c r="F45" s="28">
        <f>F92</f>
        <v>0</v>
      </c>
      <c r="G45" s="28">
        <f>G92</f>
        <v>0</v>
      </c>
      <c r="H45" s="28" t="str">
        <f>H92</f>
        <v>-</v>
      </c>
      <c r="J45" s="11"/>
    </row>
    <row r="46" spans="2:10" ht="16.5" customHeight="1" x14ac:dyDescent="0.3">
      <c r="B46" s="11" t="s">
        <v>91</v>
      </c>
      <c r="C46" s="30">
        <f>SUM(Dados!$D$86:$H$86)</f>
        <v>0</v>
      </c>
      <c r="D46" s="28">
        <f>D86</f>
        <v>0</v>
      </c>
      <c r="E46" s="28">
        <f>E86</f>
        <v>0</v>
      </c>
      <c r="F46" s="28">
        <f>F86</f>
        <v>0</v>
      </c>
      <c r="G46" s="28">
        <f>G86</f>
        <v>0</v>
      </c>
      <c r="H46" s="28" t="str">
        <f>H86</f>
        <v>-</v>
      </c>
    </row>
    <row r="47" spans="2:10" ht="16.5" customHeight="1" x14ac:dyDescent="0.3">
      <c r="B47" s="11" t="s">
        <v>92</v>
      </c>
      <c r="C47" s="31">
        <f>SUM(Dados!$D$98:$H$98)</f>
        <v>0</v>
      </c>
      <c r="D47" s="29">
        <f>D98</f>
        <v>0</v>
      </c>
      <c r="E47" s="29">
        <f>E98</f>
        <v>0</v>
      </c>
      <c r="F47" s="29">
        <f>F98</f>
        <v>0</v>
      </c>
      <c r="G47" s="29">
        <f>G98</f>
        <v>0</v>
      </c>
      <c r="H47" s="29" t="str">
        <f>H98</f>
        <v>-</v>
      </c>
    </row>
    <row r="48" spans="2:10" ht="16.5" customHeight="1" x14ac:dyDescent="0.3">
      <c r="B48" s="11" t="s">
        <v>81</v>
      </c>
      <c r="C48" s="31">
        <f>SUM(C42:C47)</f>
        <v>0</v>
      </c>
      <c r="D48" s="29">
        <f>SUM(D42:D47)</f>
        <v>0</v>
      </c>
      <c r="E48" s="29">
        <f>SUM(E42:E47)</f>
        <v>0</v>
      </c>
      <c r="F48" s="29">
        <f t="shared" ref="F48:G48" si="8">SUM(F42:F47)</f>
        <v>0</v>
      </c>
      <c r="G48" s="29">
        <f t="shared" si="8"/>
        <v>0</v>
      </c>
      <c r="H48" s="30" t="str">
        <f>IF(I2="w5 não aplicável","-",SUM(H42:H47))</f>
        <v>-</v>
      </c>
    </row>
    <row r="50" spans="2:9" ht="16.5" customHeight="1" x14ac:dyDescent="0.3">
      <c r="B50" s="11"/>
      <c r="C50" s="10" t="s">
        <v>81</v>
      </c>
      <c r="D50" s="30" t="s">
        <v>70</v>
      </c>
      <c r="E50" s="30" t="s">
        <v>71</v>
      </c>
      <c r="F50" s="30" t="s">
        <v>72</v>
      </c>
      <c r="G50" s="30" t="s">
        <v>73</v>
      </c>
      <c r="H50" s="30" t="s">
        <v>74</v>
      </c>
      <c r="I50" s="32" t="str">
        <f>I2</f>
        <v>w5 não aplicável</v>
      </c>
    </row>
    <row r="51" spans="2:9" ht="16.5" customHeight="1" x14ac:dyDescent="0.3">
      <c r="B51" s="12" t="s">
        <v>37</v>
      </c>
      <c r="C51" s="10">
        <f>SUM(D51:H51)</f>
        <v>0</v>
      </c>
      <c r="D51" s="36">
        <f>SUM('seg (1)'!$C$31+'ter (1)'!$C$31+'qua (1)'!$C$31+'qui (1)'!$C$31+'sex (1)'!$C$31+'sab (1)'!$C$31)</f>
        <v>0</v>
      </c>
      <c r="E51" s="36">
        <f>SUM('seg (2)'!$C$31+'ter (2)'!$C$31+'qua (2)'!$C$31+'qui (2)'!$C$31+'sex (2)'!$C$31+'sab (2)'!$C$31)</f>
        <v>0</v>
      </c>
      <c r="F51" s="36">
        <f>SUM('seg (3)'!$C$31+'ter (3)'!$C$31+'qua (3)'!$C$31+'qui (3)'!$C$31+'sex (3)'!$C$31+'sab (3)'!$C$31)</f>
        <v>0</v>
      </c>
      <c r="G51" s="36">
        <f>SUM('seg (4)'!$C$31+'ter (4)'!$C$31+'qua (4)'!$C$31+'qui (4)'!$C$31+'sex (4)'!$C$31+'sab (4)'!$C$31)</f>
        <v>0</v>
      </c>
      <c r="H51" s="36" t="str">
        <f>IF(I2="w5 não aplicável","-",SUM('seg (5)'!$C$31+'ter (5)'!$C$31+'qua (5)'!$C$31+'qui (5)'!$C$31+'sex (5)'!$C$31+'sab (5)'!$C$31))</f>
        <v>-</v>
      </c>
      <c r="I51" s="39"/>
    </row>
    <row r="52" spans="2:9" ht="16.5" customHeight="1" x14ac:dyDescent="0.3">
      <c r="B52" s="12" t="s">
        <v>38</v>
      </c>
      <c r="C52" s="10">
        <f t="shared" ref="C52:C55" si="9">SUM(D52:H52)</f>
        <v>0</v>
      </c>
      <c r="D52" s="36">
        <f>SUM('seg (1)'!$C$32+'ter (1)'!$C$32+'qua (1)'!$C$32+'qui (1)'!$C$32+'sex (1)'!$C$32+'sab (1)'!$C$32)</f>
        <v>0</v>
      </c>
      <c r="E52" s="36">
        <f>SUM('seg (2)'!$C$32+'ter (2)'!$C$32+'qua (2)'!$C$32+'qui (2)'!$C$32+'sex (2)'!$C$32+'sab (2)'!$C$32)</f>
        <v>0</v>
      </c>
      <c r="F52" s="36">
        <f>SUM('seg (3)'!$C$32+'ter (3)'!$C$32+'qua (3)'!$C$32+'qui (3)'!$C$32+'sex (3)'!$C$32+'sab (3)'!$C$32)</f>
        <v>0</v>
      </c>
      <c r="G52" s="36">
        <f>SUM('seg (4)'!$C$32+'ter (4)'!$C$32+'qua (4)'!$C$32+'qui (4)'!$C$32+'sex (4)'!$C$32+'sab (4)'!$C$32)</f>
        <v>0</v>
      </c>
      <c r="H52" s="36" t="str">
        <f>IF(I2="w5 não aplicável","-",SUM('seg (5)'!$C$32+'ter (5)'!$C$32+'qua (5)'!$C$32+'qui (5)'!$C$32+'sex (5)'!$C$32+'sab (5)'!$C$32))</f>
        <v>-</v>
      </c>
      <c r="I52" s="39"/>
    </row>
    <row r="53" spans="2:9" ht="16.5" customHeight="1" x14ac:dyDescent="0.3">
      <c r="B53" s="12" t="s">
        <v>39</v>
      </c>
      <c r="C53" s="10">
        <f t="shared" si="9"/>
        <v>0</v>
      </c>
      <c r="D53" s="36">
        <f>SUM('seg (1)'!$C$33+'ter (1)'!$C$33+'qua (1)'!$C$33+'qui (1)'!$C$33+'sex (1)'!$C$33+'sab (1)'!$C$33)</f>
        <v>0</v>
      </c>
      <c r="E53" s="36">
        <f>SUM('seg (2)'!$C$33+'ter (2)'!$C$33+'qua (2)'!$C$33+'qui (2)'!$C$33+'sex (2)'!$C$33+'sab (2)'!$C$33)</f>
        <v>0</v>
      </c>
      <c r="F53" s="36">
        <f>SUM('seg (3)'!$C$33+'ter (3)'!$C$33+'qua (3)'!$C$33+'qui (3)'!$C$33+'sex (3)'!$C$33+'sab (3)'!$C$33)</f>
        <v>0</v>
      </c>
      <c r="G53" s="36">
        <f>SUM('seg (4)'!$C$33+'ter (4)'!$C$33+'qua (4)'!$C$33+'qui (4)'!$C$33+'sex (4)'!$C$33+'sab (4)'!$C$33)</f>
        <v>0</v>
      </c>
      <c r="H53" s="36" t="str">
        <f>IF(I2="w5 não aplicável","-",SUM('seg (5)'!$C$33+'ter (5)'!$C$33+'qua (5)'!$C$33+'qui (5)'!$C$33+'sex (5)'!$C$33+'sab (5)'!$C$33))</f>
        <v>-</v>
      </c>
      <c r="I53" s="39"/>
    </row>
    <row r="54" spans="2:9" ht="16.5" customHeight="1" x14ac:dyDescent="0.3">
      <c r="B54" s="12" t="s">
        <v>40</v>
      </c>
      <c r="C54" s="10">
        <f t="shared" si="9"/>
        <v>0</v>
      </c>
      <c r="D54" s="36">
        <f>SUM('seg (1)'!$C$34+'ter (1)'!$C$34+'qua (1)'!$C$34+'qui (1)'!$C$34+'sex (1)'!$C$34+'sab (1)'!$C$34)</f>
        <v>0</v>
      </c>
      <c r="E54" s="36">
        <f>SUM('seg (2)'!$C$34+'ter (2)'!$C$34+'qua (2)'!$C$34+'qui (2)'!$C$34+'sex (2)'!$C$34+'sab (2)'!$C$34)</f>
        <v>0</v>
      </c>
      <c r="F54" s="36">
        <f>SUM('seg (3)'!$C$34+'ter (3)'!$C$34+'qua (3)'!$C$34+'qui (3)'!$C$34+'sex (3)'!$C$34+'sab (3)'!$C$34)</f>
        <v>0</v>
      </c>
      <c r="G54" s="36">
        <f>SUM('seg (4)'!$C$34+'ter (4)'!$C$34+'qua (4)'!$C$34+'qui (4)'!$C$34+'sex (4)'!$C$34+'sab (4)'!$C$34)</f>
        <v>0</v>
      </c>
      <c r="H54" s="36" t="str">
        <f>IF(I2="w5 não aplicável","-",SUM('seg (5)'!$C$34+'ter (5)'!$C$34+'qua (5)'!$C$34+'qui (5)'!$C$34+'sex (5)'!$C$34+'sab (5)'!$C$34))</f>
        <v>-</v>
      </c>
      <c r="I54" s="39"/>
    </row>
    <row r="55" spans="2:9" ht="16.5" customHeight="1" x14ac:dyDescent="0.3">
      <c r="B55" s="11" t="s">
        <v>81</v>
      </c>
      <c r="C55" s="10">
        <f t="shared" si="9"/>
        <v>0</v>
      </c>
      <c r="D55" s="30">
        <f>SUM(D51:D54)</f>
        <v>0</v>
      </c>
      <c r="E55" s="30">
        <f>SUM(E51:E54)</f>
        <v>0</v>
      </c>
      <c r="F55" s="30">
        <f>SUM(F51:F54)</f>
        <v>0</v>
      </c>
      <c r="G55" s="30">
        <f>SUM(G51:G54)</f>
        <v>0</v>
      </c>
      <c r="H55" s="30" t="str">
        <f>IF(I2="w5 não aplicável","-",SUM(H51:H54))</f>
        <v>-</v>
      </c>
      <c r="I55" s="39"/>
    </row>
    <row r="56" spans="2:9" ht="16.5" customHeight="1" x14ac:dyDescent="0.3">
      <c r="B56" s="11"/>
      <c r="C56" s="10"/>
      <c r="D56" s="30"/>
      <c r="E56" s="30"/>
      <c r="F56" s="30"/>
      <c r="G56" s="30"/>
      <c r="I56" s="39"/>
    </row>
    <row r="57" spans="2:9" ht="16.5" customHeight="1" x14ac:dyDescent="0.3">
      <c r="B57" s="11"/>
      <c r="C57" s="10" t="s">
        <v>81</v>
      </c>
      <c r="D57" s="30" t="s">
        <v>70</v>
      </c>
      <c r="E57" s="30" t="s">
        <v>71</v>
      </c>
      <c r="F57" s="30" t="s">
        <v>72</v>
      </c>
      <c r="G57" s="30" t="s">
        <v>73</v>
      </c>
      <c r="H57" s="30" t="s">
        <v>74</v>
      </c>
      <c r="I57" s="32" t="str">
        <f>I2</f>
        <v>w5 não aplicável</v>
      </c>
    </row>
    <row r="58" spans="2:9" ht="16.5" customHeight="1" x14ac:dyDescent="0.3">
      <c r="B58" s="13" t="s">
        <v>15</v>
      </c>
      <c r="C58" s="10">
        <f t="shared" ref="C58:C67" si="10">SUM(D58:H58)</f>
        <v>0</v>
      </c>
      <c r="D58" s="30">
        <f>SUM('seg (1)'!$C$8+'ter (1)'!$C$8+'qua (1)'!$C$8+'qui (1)'!$C$8+'sex (1)'!$C$8+'sab (1)'!$C$8)</f>
        <v>0</v>
      </c>
      <c r="E58" s="30">
        <f>SUM('seg (2)'!$C$8+'ter (2)'!$C$8+'qua (2)'!$C$8+'qui (2)'!$C$8+'sex (2)'!$C$8+'sab (2)'!$C$8)</f>
        <v>0</v>
      </c>
      <c r="F58" s="30">
        <f>SUM('seg (3)'!$C$8+'ter (3)'!$C$8+'qua (3)'!$C$8+'qui (3)'!$C$8+'sex (3)'!$C$8+'sab (3)'!$C$8)</f>
        <v>0</v>
      </c>
      <c r="G58" s="30">
        <f>SUM('seg (4)'!$C$8+'ter (4)'!$C$8+'qua (4)'!$C$8+'qui (4)'!$C$8+'sex (4)'!$C$8+'sab (4)'!$C$8)</f>
        <v>0</v>
      </c>
      <c r="H58" s="30" t="str">
        <f>IF(I2="w5 não aplicável","-",SUM('seg (5)'!$C$8+'ter (5)'!$C$8+'qua (5)'!$C$8+'qui (5)'!$C$8+'sex (5)'!$C$8+'sab (5)'!$C$8))</f>
        <v>-</v>
      </c>
      <c r="I58" s="39"/>
    </row>
    <row r="59" spans="2:9" ht="16.5" customHeight="1" x14ac:dyDescent="0.3">
      <c r="B59" s="13" t="s">
        <v>16</v>
      </c>
      <c r="C59" s="10">
        <f t="shared" si="10"/>
        <v>0</v>
      </c>
      <c r="D59" s="30">
        <f>SUM('seg (1)'!$C$9+'ter (1)'!$C$9+'qua (1)'!$C$9+'qui (1)'!$C$9+'sex (1)'!$C$9+'sab (1)'!$C$9)</f>
        <v>0</v>
      </c>
      <c r="E59" s="30">
        <f>SUM('seg (2)'!$C$9+'ter (2)'!$C$9+'qua (2)'!$C$9+'qui (2)'!$C$9+'sex (2)'!$C$9+'sab (2)'!$C$9)</f>
        <v>0</v>
      </c>
      <c r="F59" s="30">
        <f>SUM('seg (3)'!$C$9+'ter (3)'!$C$9+'qua (3)'!$C$9+'qui (3)'!$C$9+'sex (3)'!$C$9+'sab (3)'!$C$9)</f>
        <v>0</v>
      </c>
      <c r="G59" s="30">
        <f>SUM('seg (4)'!$C$9+'ter (4)'!$C$9+'qua (4)'!$C$9+'qui (4)'!$C$9+'sex (4)'!$C$9+'sab (4)'!$C$9)</f>
        <v>0</v>
      </c>
      <c r="H59" s="30" t="str">
        <f>IF(I2="w5 não aplicável","-",SUM('seg (5)'!$C$9+'ter (5)'!$C$9+'qua (5)'!$C$9+'qui (5)'!$C$9+'sex (5)'!$C$9+'sab (5)'!$C$9))</f>
        <v>-</v>
      </c>
      <c r="I59" s="39"/>
    </row>
    <row r="60" spans="2:9" ht="16.5" customHeight="1" x14ac:dyDescent="0.3">
      <c r="B60" s="13" t="s">
        <v>17</v>
      </c>
      <c r="C60" s="10">
        <f t="shared" si="10"/>
        <v>0</v>
      </c>
      <c r="D60" s="30">
        <f>SUM('seg (1)'!$C$10+'ter (1)'!$C$10+'qua (1)'!$C$10+'qui (1)'!$C$10+'sex (1)'!$C$10+'sab (1)'!$C$10)</f>
        <v>0</v>
      </c>
      <c r="E60" s="30">
        <f>SUM('seg (2)'!$C$10+'ter (2)'!$C$10+'qua (2)'!$C$10+'qui (2)'!$C$10+'sex (2)'!$C$10+'sab (2)'!$C$10)</f>
        <v>0</v>
      </c>
      <c r="F60" s="30">
        <f>SUM('seg (3)'!$C$10+'ter (3)'!$C$10+'qua (3)'!$C$10+'qui (3)'!$C$10+'sex (3)'!$C$10+'sab (3)'!$C$10)</f>
        <v>0</v>
      </c>
      <c r="G60" s="30">
        <f>SUM('seg (4)'!$C$10+'ter (4)'!$C$10+'qua (4)'!$C$10+'qui (4)'!$C$10+'sex (4)'!$C$10+'sab (4)'!$C$10)</f>
        <v>0</v>
      </c>
      <c r="H60" s="30" t="str">
        <f>IF(I2="w5 não aplicável","-",SUM('seg (5)'!$C$10+'ter (5)'!$C$10+'qua (5)'!$C$10+'qui (5)'!$C$10+'sex (5)'!$C$10+'sab (5)'!$C$10))</f>
        <v>-</v>
      </c>
      <c r="I60" s="39"/>
    </row>
    <row r="61" spans="2:9" ht="16.5" customHeight="1" x14ac:dyDescent="0.3">
      <c r="B61" s="13" t="s">
        <v>18</v>
      </c>
      <c r="C61" s="10">
        <f t="shared" si="10"/>
        <v>0</v>
      </c>
      <c r="D61" s="30">
        <f>SUM('seg (1)'!$C$11+'ter (1)'!$C$11+'qua (1)'!$C$11+'qui (1)'!$C$11+'sex (1)'!$C$11+'sab (1)'!$C$11)</f>
        <v>0</v>
      </c>
      <c r="E61" s="30">
        <f>SUM('seg (2)'!$C$11+'ter (2)'!$C$11+'qua (2)'!$C$11+'qui (2)'!$C$11+'sex (2)'!$C$11+'sab (2)'!$C$11)</f>
        <v>0</v>
      </c>
      <c r="F61" s="30">
        <f>SUM('seg (3)'!$C$11+'ter (3)'!$C$11+'qua (3)'!$C$11+'qui (3)'!$C$11+'sex (3)'!$C$11+'sab (3)'!$C$11)</f>
        <v>0</v>
      </c>
      <c r="G61" s="30">
        <f>SUM('seg (4)'!$C$11+'ter (4)'!$C$11+'qua (4)'!$C$11+'qui (4)'!$C$11+'sex (4)'!$C$11+'sab (4)'!$C$11)</f>
        <v>0</v>
      </c>
      <c r="H61" s="30" t="str">
        <f>IF(I2="w5 não aplicável","-",SUM('seg (5)'!$C$11+'ter (5)'!$C$11+'qua (5)'!$C$11+'qui (5)'!$C$11+'sex (5)'!$C$11+'sab (5)'!$C$11))</f>
        <v>-</v>
      </c>
      <c r="I61" s="39"/>
    </row>
    <row r="62" spans="2:9" ht="16.5" customHeight="1" x14ac:dyDescent="0.3">
      <c r="B62" s="13" t="s">
        <v>19</v>
      </c>
      <c r="C62" s="10">
        <f t="shared" si="10"/>
        <v>0</v>
      </c>
      <c r="D62" s="30">
        <f>SUM('seg (1)'!$C$12+'ter (1)'!$C$12+'qua (1)'!$C$12+'qui (1)'!$C$12+'sex (1)'!$C$12+'sab (1)'!$C$12)</f>
        <v>0</v>
      </c>
      <c r="E62" s="30">
        <f>SUM('seg (2)'!$C$12+'ter (2)'!$C$12+'qua (2)'!$C$12+'qui (2)'!$C$12+'sex (2)'!$C$12+'sab (2)'!$C$12)</f>
        <v>0</v>
      </c>
      <c r="F62" s="30">
        <f>SUM('seg (3)'!$C$12+'ter (3)'!$C$12+'qua (3)'!$C$12+'qui (3)'!$C$12+'sex (3)'!$C$12+'sab (3)'!$C$12)</f>
        <v>0</v>
      </c>
      <c r="G62" s="30">
        <f>SUM('seg (4)'!$C$12+'ter (4)'!$C$12+'qua (4)'!$C$12+'qui (4)'!$C$12+'sex (4)'!$C$12+'sab (4)'!$C$12)</f>
        <v>0</v>
      </c>
      <c r="H62" s="30" t="str">
        <f>IF(I2="w5 não aplicável","-",SUM('seg (5)'!$C$12+'ter (5)'!$C$12+'qua (5)'!$C$12+'qui (5)'!$C$12+'sex (5)'!$C$12+'sab (5)'!$C$12))</f>
        <v>-</v>
      </c>
      <c r="I62" s="39"/>
    </row>
    <row r="63" spans="2:9" ht="16.5" customHeight="1" x14ac:dyDescent="0.3">
      <c r="B63" s="13" t="s">
        <v>20</v>
      </c>
      <c r="C63" s="10">
        <f t="shared" si="10"/>
        <v>0</v>
      </c>
      <c r="D63" s="30">
        <f>SUM('seg (1)'!$C$13+'ter (1)'!$C$13+'qua (1)'!$C$13+'qui (1)'!$C$13+'sex (1)'!$C$13+'sab (1)'!$C$13)</f>
        <v>0</v>
      </c>
      <c r="E63" s="30">
        <f>SUM('seg (2)'!$C$13+'ter (2)'!$C$13+'qua (2)'!$C$13+'qui (2)'!$C$13+'sex (2)'!$C$13+'sab (2)'!$C$13)</f>
        <v>0</v>
      </c>
      <c r="F63" s="30">
        <f>SUM('seg (3)'!$C$13+'ter (3)'!$C$13+'qua (3)'!$C$13+'qui (3)'!$C$13+'sex (3)'!$C$13+'sab (3)'!$C$13)</f>
        <v>0</v>
      </c>
      <c r="G63" s="30">
        <f>SUM('seg (4)'!$C$13+'ter (4)'!$C$13+'qua (4)'!$C$13+'qui (4)'!$C$13+'sex (4)'!$C$13+'sab (4)'!$C$13)</f>
        <v>0</v>
      </c>
      <c r="H63" s="30" t="str">
        <f>IF(I2="w5 não aplicável","-",SUM('seg (5)'!$C$13+'ter (5)'!$C$13+'qua (5)'!$C$13+'qui (5)'!$C$13+'sex (5)'!$C$13+'sab (5)'!$C$13))</f>
        <v>-</v>
      </c>
      <c r="I63" s="39"/>
    </row>
    <row r="64" spans="2:9" ht="16.5" customHeight="1" x14ac:dyDescent="0.3">
      <c r="B64" s="13" t="s">
        <v>21</v>
      </c>
      <c r="C64" s="10">
        <f t="shared" si="10"/>
        <v>0</v>
      </c>
      <c r="D64" s="30">
        <f>SUM('seg (1)'!$C$14+'ter (1)'!$C$14+'qua (1)'!$C$14+'qui (1)'!$C$14+'sex (1)'!$C$14+'sab (1)'!$C$14)</f>
        <v>0</v>
      </c>
      <c r="E64" s="30">
        <f>SUM('seg (2)'!$C$14+'ter (2)'!$C$14+'qua (2)'!$C$14+'qui (2)'!$C$14+'sex (2)'!$C$14+'sab (2)'!$C$14)</f>
        <v>0</v>
      </c>
      <c r="F64" s="30">
        <f>SUM('seg (3)'!$C$14+'ter (3)'!$C$14+'qua (3)'!$C$14+'qui (3)'!$C$14+'sex (3)'!$C$14+'sab (3)'!$C$14)</f>
        <v>0</v>
      </c>
      <c r="G64" s="30">
        <f>SUM('seg (4)'!$C$14+'ter (4)'!$C$14+'qua (4)'!$C$14+'qui (4)'!$C$14+'sex (4)'!$C$14+'sab (4)'!$C$14)</f>
        <v>0</v>
      </c>
      <c r="H64" s="30" t="str">
        <f>IF(I2="w5 não aplicável","-",SUM('seg (5)'!$C$14+'ter (5)'!$C$14+'qua (5)'!$C$14+'qui (5)'!$C$14+'sex (5)'!$C$14+'sab (5)'!$C$14))</f>
        <v>-</v>
      </c>
      <c r="I64" s="39"/>
    </row>
    <row r="65" spans="2:9" ht="16.5" customHeight="1" x14ac:dyDescent="0.3">
      <c r="B65" s="13" t="s">
        <v>22</v>
      </c>
      <c r="C65" s="10">
        <f t="shared" si="10"/>
        <v>0</v>
      </c>
      <c r="D65" s="30">
        <f>SUM('seg (1)'!$C$15+'ter (1)'!$C$15+'qua (1)'!$C$15+'qui (1)'!$C$15+'sex (1)'!$C$15+'sab (1)'!$C$15)</f>
        <v>0</v>
      </c>
      <c r="E65" s="30">
        <f>SUM('seg (2)'!$C$15+'ter (2)'!$C$15+'qua (2)'!$C$15+'qui (2)'!$C$15+'sex (2)'!$C$15+'sab (2)'!$C$15)</f>
        <v>0</v>
      </c>
      <c r="F65" s="30">
        <f>SUM('seg (3)'!$C$15+'ter (3)'!$C$15+'qua (3)'!$C$15+'qui (3)'!$C$15+'sex (3)'!$C$15+'sab (3)'!$C$15)</f>
        <v>0</v>
      </c>
      <c r="G65" s="30">
        <f>SUM('seg (4)'!$C$15+'ter (4)'!$C$15+'qua (4)'!$C$15+'qui (4)'!$C$15+'sex (4)'!$C$15+'sab (4)'!$C$15)</f>
        <v>0</v>
      </c>
      <c r="H65" s="30" t="str">
        <f>IF(I2="w5 não aplicável","-",SUM('seg (5)'!$C$15+'ter (5)'!$C$15+'qua (5)'!$C$15+'qui (5)'!$C$15+'sex (5)'!$C$15+'sab (5)'!$C$15))</f>
        <v>-</v>
      </c>
      <c r="I65" s="39"/>
    </row>
    <row r="66" spans="2:9" ht="16.5" customHeight="1" x14ac:dyDescent="0.3">
      <c r="B66" s="13" t="s">
        <v>23</v>
      </c>
      <c r="C66" s="10">
        <f t="shared" si="10"/>
        <v>0</v>
      </c>
      <c r="D66" s="30">
        <f>SUM('seg (1)'!$C$16+'ter (1)'!$C$16+'qua (1)'!$C$16+'qui (1)'!$C$16+'sex (1)'!$C$16+'sab (1)'!$C$16)</f>
        <v>0</v>
      </c>
      <c r="E66" s="30">
        <f>SUM('seg (2)'!$C$16+'ter (2)'!$C$16+'qua (2)'!$C$16+'qui (2)'!$C$16+'sex (2)'!$C$16+'sab (2)'!$C$16)</f>
        <v>0</v>
      </c>
      <c r="F66" s="30">
        <f>SUM('seg (3)'!$C$16+'ter (3)'!$C$16+'qua (3)'!$C$16+'qui (3)'!$C$16+'sex (3)'!$C$16+'sab (3)'!$C$16)</f>
        <v>0</v>
      </c>
      <c r="G66" s="30">
        <f>SUM('seg (4)'!$C$16+'ter (4)'!$C$16+'qua (4)'!$C$16+'qui (4)'!$C$16+'sex (4)'!$C$16+'sab (4)'!$C$16)</f>
        <v>0</v>
      </c>
      <c r="H66" s="30" t="str">
        <f>IF(I2="w5 não aplicável","-",SUM('seg (5)'!$C$16+'ter (5)'!$C$16+'qua (5)'!$C$16+'qui (5)'!$C$16+'sex (5)'!$C$16+'sab (5)'!$C$16))</f>
        <v>-</v>
      </c>
      <c r="I66" s="39"/>
    </row>
    <row r="67" spans="2:9" ht="16.5" customHeight="1" x14ac:dyDescent="0.3">
      <c r="B67" s="11" t="s">
        <v>81</v>
      </c>
      <c r="C67" s="10">
        <f t="shared" si="10"/>
        <v>0</v>
      </c>
      <c r="D67" s="30">
        <f>SUM(D58:D66)</f>
        <v>0</v>
      </c>
      <c r="E67" s="30">
        <f>SUM(E58:E66)</f>
        <v>0</v>
      </c>
      <c r="F67" s="30">
        <f>SUM(F58:F66)</f>
        <v>0</v>
      </c>
      <c r="G67" s="30">
        <f>SUM(G58:G66)</f>
        <v>0</v>
      </c>
      <c r="H67" s="30" t="str">
        <f>IF(I2="w5 não aplicável","-",SUM(H58:H66))</f>
        <v>-</v>
      </c>
      <c r="I67" s="39"/>
    </row>
    <row r="68" spans="2:9" ht="16.5" customHeight="1" x14ac:dyDescent="0.3">
      <c r="B68" s="11"/>
      <c r="C68" s="10"/>
      <c r="D68" s="30"/>
      <c r="E68" s="30"/>
      <c r="F68" s="30"/>
      <c r="G68" s="30"/>
      <c r="I68" s="39"/>
    </row>
    <row r="69" spans="2:9" ht="16.5" customHeight="1" x14ac:dyDescent="0.3">
      <c r="B69" s="11"/>
      <c r="C69" s="10" t="s">
        <v>81</v>
      </c>
      <c r="D69" s="30" t="s">
        <v>70</v>
      </c>
      <c r="E69" s="30" t="s">
        <v>71</v>
      </c>
      <c r="F69" s="30" t="s">
        <v>72</v>
      </c>
      <c r="G69" s="30" t="s">
        <v>73</v>
      </c>
      <c r="H69" s="30" t="s">
        <v>74</v>
      </c>
      <c r="I69" s="32" t="str">
        <f>I2</f>
        <v>w5 não aplicável</v>
      </c>
    </row>
    <row r="70" spans="2:9" ht="16.5" customHeight="1" x14ac:dyDescent="0.3">
      <c r="B70" s="13" t="s">
        <v>26</v>
      </c>
      <c r="C70" s="10">
        <f t="shared" ref="C70:C80" si="11">SUM(D70:H70)</f>
        <v>0</v>
      </c>
      <c r="D70" s="36">
        <f>SUM('seg (1)'!$C$19+'ter (1)'!$C$19+'qua (1)'!$C$19+'qui (1)'!$C$19+'sex (1)'!$C$19+'sab (1)'!$C$19)</f>
        <v>0</v>
      </c>
      <c r="E70" s="36">
        <f>SUM('seg (2)'!$C$19+'ter (2)'!$C$19+'qua (2)'!$C$19+'qui (2)'!$C$19+'sex (2)'!$C$19+'sab (2)'!$C$19)</f>
        <v>0</v>
      </c>
      <c r="F70" s="36">
        <f>SUM('seg (3)'!$C$19+'ter (3)'!$C$19+'qua (3)'!$C$19+'qui (3)'!$C$19+'sex (3)'!$C$19+'sab (3)'!$C$19)</f>
        <v>0</v>
      </c>
      <c r="G70" s="36">
        <f>SUM('seg (4)'!$C$19+'ter (4)'!$C$19+'qua (4)'!$C$19+'qui (4)'!$C$19+'sex (4)'!$C$19+'sab (4)'!$C$19)</f>
        <v>0</v>
      </c>
      <c r="H70" s="36" t="str">
        <f>IF($I$2="w5 não aplicável","-",SUM('seg (5)'!$C$19+'ter (5)'!$C$19+'qua (5)'!$C$19+'qui (5)'!$C$19+'sex (5)'!$C$19+'sab (5)'!$C$19))</f>
        <v>-</v>
      </c>
      <c r="I70" s="39"/>
    </row>
    <row r="71" spans="2:9" ht="16.5" customHeight="1" x14ac:dyDescent="0.3">
      <c r="B71" s="13" t="s">
        <v>27</v>
      </c>
      <c r="C71" s="10">
        <f t="shared" si="11"/>
        <v>0</v>
      </c>
      <c r="D71" s="36">
        <f>SUM('seg (1)'!$C$20+'ter (1)'!$C$20+'qua (1)'!$C$20+'qui (1)'!$C$20+'sex (1)'!$C$20+'sab (1)'!$C$20)</f>
        <v>0</v>
      </c>
      <c r="E71" s="36">
        <f>SUM('seg (2)'!$C$20+'ter (2)'!$C$20+'qua (2)'!$C$20+'qui (2)'!$C$20+'sex (2)'!$C$20+'sab (2)'!$C$20)</f>
        <v>0</v>
      </c>
      <c r="F71" s="36">
        <f>SUM('seg (3)'!$C$20+'ter (3)'!$C$20+'qua (3)'!$C$20+'qui (3)'!$C$20+'sex (3)'!$C$20+'sab (3)'!$C$20)</f>
        <v>0</v>
      </c>
      <c r="G71" s="36">
        <f>SUM('seg (4)'!$C$20+'ter (4)'!$C$20+'qua (4)'!$C$20+'qui (4)'!$C$20+'sex (4)'!$C$20+'sab (4)'!$C$20)</f>
        <v>0</v>
      </c>
      <c r="H71" s="36" t="str">
        <f>IF($I$2="w5 não aplicável","-",SUM('seg (5)'!$C$20+'ter (5)'!$C$20+'qua (5)'!$C$20+'qui (5)'!$C$20+'sex (5)'!$C$20+'sab (5)'!$C$20))</f>
        <v>-</v>
      </c>
      <c r="I71" s="39"/>
    </row>
    <row r="72" spans="2:9" ht="16.5" customHeight="1" x14ac:dyDescent="0.3">
      <c r="B72" s="13" t="s">
        <v>28</v>
      </c>
      <c r="C72" s="10">
        <f t="shared" si="11"/>
        <v>0</v>
      </c>
      <c r="D72" s="36">
        <f>SUM('seg (1)'!$C$21+'ter (1)'!$C$21+'qua (1)'!$C$21+'qui (1)'!$C$21+'sex (1)'!$C$21+'sab (1)'!$C$21)</f>
        <v>0</v>
      </c>
      <c r="E72" s="36">
        <f>SUM('seg (2)'!$C$21+'ter (2)'!$C$21+'qua (2)'!$C$21+'qui (2)'!$C$21+'sex (2)'!$C$21+'sab (2)'!$C$21)</f>
        <v>0</v>
      </c>
      <c r="F72" s="36">
        <f>SUM('seg (3)'!$C$21+'ter (3)'!$C$21+'qua (3)'!$C$21+'qui (3)'!$C$21+'sex (3)'!$C$21+'sab (3)'!$C$21)</f>
        <v>0</v>
      </c>
      <c r="G72" s="36">
        <f>SUM('seg (4)'!$C$21+'ter (4)'!$C$21+'qua (4)'!$C$21+'qui (4)'!$C$21+'sex (4)'!$C$21+'sab (4)'!$C$21)</f>
        <v>0</v>
      </c>
      <c r="H72" s="36" t="str">
        <f>IF($I$2="w5 não aplicável","-",SUM('seg (5)'!$C$21+'ter (5)'!$C$21+'qua (5)'!$C$21+'qui (5)'!$C$21+'sex (5)'!$C$21+'sab (5)'!$C$21))</f>
        <v>-</v>
      </c>
      <c r="I72" s="39"/>
    </row>
    <row r="73" spans="2:9" ht="16.5" customHeight="1" x14ac:dyDescent="0.3">
      <c r="B73" s="13" t="s">
        <v>29</v>
      </c>
      <c r="C73" s="10">
        <f t="shared" si="11"/>
        <v>0</v>
      </c>
      <c r="D73" s="36">
        <f>SUM('seg (1)'!$C$22+'ter (1)'!$C$22+'qua (1)'!$C$22+'qui (1)'!$C$22+'sex (1)'!$C$22+'sab (1)'!$C$22)</f>
        <v>0</v>
      </c>
      <c r="E73" s="36">
        <f>SUM('seg (2)'!$C$22+'ter (2)'!$C$22+'qua (2)'!$C$22+'qui (2)'!$C$22+'sex (2)'!$C$22+'sab (2)'!$C$22)</f>
        <v>0</v>
      </c>
      <c r="F73" s="36">
        <f>SUM('seg (3)'!$C$22+'ter (3)'!$C$22+'qua (3)'!$C$22+'qui (3)'!$C$22+'sex (3)'!$C$22+'sab (3)'!$C$22)</f>
        <v>0</v>
      </c>
      <c r="G73" s="36">
        <f>SUM('seg (4)'!$C$22+'ter (4)'!$C$22+'qua (4)'!$C$22+'qui (4)'!$C$22+'sex (4)'!$C$22+'sab (4)'!$C$22)</f>
        <v>0</v>
      </c>
      <c r="H73" s="36" t="str">
        <f>IF($I$2="w5 não aplicável","-",SUM('seg (5)'!$C$22+'ter (5)'!$C$22+'qua (5)'!$C$22+'qui (5)'!$C$22+'sex (5)'!$C$22+'sab (5)'!$C$22))</f>
        <v>-</v>
      </c>
      <c r="I73" s="39"/>
    </row>
    <row r="74" spans="2:9" ht="16.5" customHeight="1" x14ac:dyDescent="0.3">
      <c r="B74" s="13" t="s">
        <v>30</v>
      </c>
      <c r="C74" s="10">
        <f t="shared" si="11"/>
        <v>0</v>
      </c>
      <c r="D74" s="36">
        <f>SUM('seg (1)'!$C$23+'ter (1)'!$C$23+'qua (1)'!$C$23+'qui (1)'!$C$23+'sex (1)'!$C$23+'sab (1)'!$C$23)</f>
        <v>0</v>
      </c>
      <c r="E74" s="36">
        <f>SUM('seg (2)'!$C$23+'ter (2)'!$C$23+'qua (2)'!$C$23+'qui (2)'!$C$23+'sex (2)'!$C$23+'sab (2)'!$C$23)</f>
        <v>0</v>
      </c>
      <c r="F74" s="36">
        <f>SUM('seg (3)'!$C$23+'ter (3)'!$C$23+'qua (3)'!$C$23+'qui (3)'!$C$23+'sex (3)'!$C$23+'sab (3)'!$C$23)</f>
        <v>0</v>
      </c>
      <c r="G74" s="36">
        <f>SUM('seg (4)'!$C$23+'ter (4)'!$C$23+'qua (4)'!$C$23+'qui (4)'!$C$23+'sex (4)'!$C$23+'sab (4)'!$C$23)</f>
        <v>0</v>
      </c>
      <c r="H74" s="36" t="str">
        <f>IF($I$2="w5 não aplicável","-",SUM('seg (5)'!$C$23+'ter (5)'!$C$23+'qua (5)'!$C$23+'qui (5)'!$C$23+'sex (5)'!$C$23+'sab (5)'!$C$23))</f>
        <v>-</v>
      </c>
      <c r="I74" s="39"/>
    </row>
    <row r="75" spans="2:9" ht="16.5" customHeight="1" x14ac:dyDescent="0.3">
      <c r="B75" s="13" t="s">
        <v>31</v>
      </c>
      <c r="C75" s="10">
        <f t="shared" si="11"/>
        <v>0</v>
      </c>
      <c r="D75" s="36">
        <f>SUM('seg (1)'!$C$24+'ter (1)'!$C$24+'qua (1)'!$C$24+'qui (1)'!$C$24+'sex (1)'!$C$24+'sab (1)'!$C$24)</f>
        <v>0</v>
      </c>
      <c r="E75" s="36">
        <f>SUM('seg (2)'!$C$24+'ter (2)'!$C$24+'qua (2)'!$C$24+'qui (2)'!$C$24+'sex (2)'!$C$24+'sab (2)'!$C$24)</f>
        <v>0</v>
      </c>
      <c r="F75" s="36">
        <f>SUM('seg (3)'!$C$24+'ter (3)'!$C$24+'qua (3)'!$C$24+'qui (3)'!$C$24+'sex (3)'!$C$24+'sab (3)'!$C$24)</f>
        <v>0</v>
      </c>
      <c r="G75" s="36">
        <f>SUM('seg (4)'!$C$24+'ter (4)'!$C$24+'qua (4)'!$C$24+'qui (4)'!$C$24+'sex (4)'!$C$24+'sab (4)'!$C$24)</f>
        <v>0</v>
      </c>
      <c r="H75" s="36" t="str">
        <f>IF($I$2="w5 não aplicável","-",SUM('seg (5)'!$C$24+'ter (5)'!$C$24+'qua (5)'!$C$24+'qui (5)'!$C$24+'sex (5)'!$C$24+'sab (5)'!$C$24))</f>
        <v>-</v>
      </c>
      <c r="I75" s="39"/>
    </row>
    <row r="76" spans="2:9" ht="16.5" customHeight="1" x14ac:dyDescent="0.3">
      <c r="B76" s="13" t="s">
        <v>32</v>
      </c>
      <c r="C76" s="10">
        <f t="shared" si="11"/>
        <v>0</v>
      </c>
      <c r="D76" s="36">
        <f>SUM('seg (1)'!$C$25+'ter (1)'!$C$25+'qua (1)'!$C$25+'qui (1)'!$C$25+'sex (1)'!$C$25+'sab (1)'!$C$25)</f>
        <v>0</v>
      </c>
      <c r="E76" s="36">
        <f>SUM('seg (2)'!$C$25+'ter (2)'!$C$25+'qua (2)'!$C$25+'qui (2)'!$C$25+'sex (2)'!$C$25+'sab (2)'!$C$25)</f>
        <v>0</v>
      </c>
      <c r="F76" s="36">
        <f>SUM('seg (3)'!$C$25+'ter (3)'!$C$25+'qua (3)'!$C$25+'qui (3)'!$C$25+'sex (3)'!$C$25+'sab (3)'!$C$25)</f>
        <v>0</v>
      </c>
      <c r="G76" s="36">
        <f>SUM('seg (4)'!$C$25+'ter (4)'!$C$25+'qua (4)'!$C$25+'qui (4)'!$C$25+'sex (4)'!$C$25+'sab (4)'!$C$25)</f>
        <v>0</v>
      </c>
      <c r="H76" s="36" t="str">
        <f>IF($I$2="w5 não aplicável","-",SUM('seg (5)'!$C$25+'ter (5)'!$C$25+'qua (5)'!$C$25+'qui (5)'!$C$25+'sex (5)'!$C$25+'sab (5)'!$C$25))</f>
        <v>-</v>
      </c>
      <c r="I76" s="39"/>
    </row>
    <row r="77" spans="2:9" ht="16.5" customHeight="1" x14ac:dyDescent="0.3">
      <c r="B77" s="13" t="s">
        <v>33</v>
      </c>
      <c r="C77" s="10">
        <f t="shared" si="11"/>
        <v>0</v>
      </c>
      <c r="D77" s="36">
        <f>SUM('seg (1)'!$C$26+'ter (1)'!$C$26+'qua (1)'!$C$26+'qui (1)'!$C$26+'sex (1)'!$C$26+'sab (1)'!$C$26)</f>
        <v>0</v>
      </c>
      <c r="E77" s="36">
        <f>SUM('seg (2)'!$C$26+'ter (2)'!$C$26+'qua (2)'!$C$26+'qui (2)'!$C$26+'sex (2)'!$C$26+'sab (2)'!$C$26)</f>
        <v>0</v>
      </c>
      <c r="F77" s="36">
        <f>SUM('seg (3)'!$C$26+'ter (3)'!$C$26+'qua (3)'!$C$26+'qui (3)'!$C$26+'sex (3)'!$C$26+'sab (3)'!$C$26)</f>
        <v>0</v>
      </c>
      <c r="G77" s="36">
        <f>SUM('seg (4)'!$C$26+'ter (4)'!$C$26+'qua (4)'!$C$26+'qui (4)'!$C$26+'sex (4)'!$C$26+'sab (4)'!$C$26)</f>
        <v>0</v>
      </c>
      <c r="H77" s="36" t="str">
        <f>IF($I$2="w5 não aplicável","-",SUM('seg (5)'!$C$26+'ter (5)'!$C$26+'qua (5)'!$C$26+'qui (5)'!$C$26+'sex (5)'!$C$26+'sab (5)'!$C$26))</f>
        <v>-</v>
      </c>
      <c r="I77" s="39"/>
    </row>
    <row r="78" spans="2:9" ht="16.5" customHeight="1" x14ac:dyDescent="0.3">
      <c r="B78" s="13" t="s">
        <v>34</v>
      </c>
      <c r="C78" s="10">
        <f t="shared" si="11"/>
        <v>0</v>
      </c>
      <c r="D78" s="36">
        <f>SUM('seg (1)'!$C$27+'ter (1)'!$C$27+'qua (1)'!$C$27+'qui (1)'!$C$27+'sex (1)'!$C$27+'sab (1)'!$C$27)</f>
        <v>0</v>
      </c>
      <c r="E78" s="36">
        <f>SUM('seg (2)'!$C$27+'ter (2)'!$C$27+'qua (2)'!$C$27+'qui (2)'!$C$27+'sex (2)'!$C$27+'sab (2)'!$C$27)</f>
        <v>0</v>
      </c>
      <c r="F78" s="36">
        <f>SUM('seg (3)'!$C$27+'ter (3)'!$C$27+'qua (3)'!$C$27+'qui (3)'!$C$27+'sex (3)'!$C$27+'sab (3)'!$C$27)</f>
        <v>0</v>
      </c>
      <c r="G78" s="36">
        <f>SUM('seg (4)'!$C$27+'ter (4)'!$C$27+'qua (4)'!$C$27+'qui (4)'!$C$27+'sex (4)'!$C$27+'sab (4)'!$C$27)</f>
        <v>0</v>
      </c>
      <c r="H78" s="36" t="str">
        <f>IF($I$2="w5 não aplicável","-",SUM('seg (5)'!$C$27+'ter (5)'!$C$27+'qua (5)'!$C$27+'qui (5)'!$C$27+'sex (5)'!$C$27+'sab (5)'!$C$27))</f>
        <v>-</v>
      </c>
      <c r="I78" s="39"/>
    </row>
    <row r="79" spans="2:9" ht="16.5" customHeight="1" x14ac:dyDescent="0.3">
      <c r="B79" s="13" t="s">
        <v>35</v>
      </c>
      <c r="C79" s="10">
        <f t="shared" si="11"/>
        <v>0</v>
      </c>
      <c r="D79" s="36">
        <f>SUM('seg (1)'!$C$28+'ter (1)'!$C$28+'qua (1)'!$C$28+'qui (1)'!$C$28+'sex (1)'!$C$28+'sab (1)'!$C$28)</f>
        <v>0</v>
      </c>
      <c r="E79" s="36">
        <f>SUM('seg (2)'!$C$28+'ter (2)'!$C$28+'qua (2)'!$C$28+'qui (2)'!$C$28+'sex (2)'!$C$28+'sab (2)'!$C$28)</f>
        <v>0</v>
      </c>
      <c r="F79" s="36">
        <f>SUM('seg (3)'!$C$28+'ter (3)'!$C$28+'qua (3)'!$C$28+'qui (3)'!$C$28+'sex (3)'!$C$28+'sab (3)'!$C$28)</f>
        <v>0</v>
      </c>
      <c r="G79" s="36">
        <f>SUM('seg (4)'!$C$28+'ter (4)'!$C$28+'qua (4)'!$C$28+'qui (4)'!$C$28+'sex (4)'!$C$28+'sab (4)'!$C$28)</f>
        <v>0</v>
      </c>
      <c r="H79" s="36" t="str">
        <f>IF($I$2="w5 não aplicável","-",SUM('seg (5)'!$C$28+'ter (5)'!$C$28+'qua (5)'!$C$28+'qui (5)'!$C$28+'sex (5)'!$C$28+'sab (5)'!$C$28))</f>
        <v>-</v>
      </c>
      <c r="I79" s="39"/>
    </row>
    <row r="80" spans="2:9" ht="16.5" customHeight="1" x14ac:dyDescent="0.3">
      <c r="B80" s="11" t="s">
        <v>81</v>
      </c>
      <c r="C80" s="10">
        <f t="shared" si="11"/>
        <v>0</v>
      </c>
      <c r="D80" s="30">
        <f>SUM(D70:D79)</f>
        <v>0</v>
      </c>
      <c r="E80" s="30">
        <f>SUM(E70:E79)</f>
        <v>0</v>
      </c>
      <c r="F80" s="30">
        <f>SUM(F70:F79)</f>
        <v>0</v>
      </c>
      <c r="G80" s="30">
        <f>SUM(G70:G79)</f>
        <v>0</v>
      </c>
      <c r="H80" s="30" t="str">
        <f>IF(I2="w5 não aplicável","-",SUM(H70:H79))</f>
        <v>-</v>
      </c>
      <c r="I80" s="39"/>
    </row>
    <row r="81" spans="2:9" ht="16.5" customHeight="1" x14ac:dyDescent="0.3">
      <c r="B81" s="11"/>
      <c r="C81" s="10"/>
      <c r="D81" s="30"/>
      <c r="E81" s="30"/>
      <c r="F81" s="30"/>
      <c r="G81" s="30"/>
      <c r="I81" s="39"/>
    </row>
    <row r="82" spans="2:9" ht="16.5" customHeight="1" x14ac:dyDescent="0.3">
      <c r="B82" s="11"/>
      <c r="C82" s="10" t="s">
        <v>81</v>
      </c>
      <c r="D82" s="30" t="s">
        <v>70</v>
      </c>
      <c r="E82" s="30" t="s">
        <v>71</v>
      </c>
      <c r="F82" s="30" t="s">
        <v>72</v>
      </c>
      <c r="G82" s="30" t="s">
        <v>73</v>
      </c>
      <c r="H82" s="30" t="s">
        <v>74</v>
      </c>
      <c r="I82" s="32" t="str">
        <f>I2</f>
        <v>w5 não aplicável</v>
      </c>
    </row>
    <row r="83" spans="2:9" ht="16.5" customHeight="1" x14ac:dyDescent="0.3">
      <c r="B83" s="14" t="s">
        <v>46</v>
      </c>
      <c r="C83" s="10">
        <f t="shared" ref="C83:C86" si="12">SUM(D83:H83)</f>
        <v>0</v>
      </c>
      <c r="D83" s="30">
        <f>SUM('seg (1)'!$C$42+'ter (1)'!$C$42+'qua (1)'!$C$42+'qui (1)'!$C$42+'sex (1)'!$C$42+'sab (1)'!$C$42)</f>
        <v>0</v>
      </c>
      <c r="E83" s="30">
        <f>SUM('seg (2)'!$C$42+'ter (2)'!$C$42+'qua (2)'!$C$42+'qui (2)'!$C$42+'sex (2)'!$C$42+'sab (2)'!$C$42)</f>
        <v>0</v>
      </c>
      <c r="F83" s="30">
        <f>SUM('seg (3)'!$C$42+'ter (3)'!$C$42+'qua (3)'!$C$42+'qui (3)'!$C$42+'sex (3)'!$C$42+'sab (3)'!$C$42)</f>
        <v>0</v>
      </c>
      <c r="G83" s="30">
        <f>SUM('seg (4)'!$C$42+'ter (4)'!$C$42+'qua (4)'!$C$42+'qui (4)'!$C$42+'sex (4)'!$C$42+'sab (4)'!$C$42)</f>
        <v>0</v>
      </c>
      <c r="H83" s="30" t="str">
        <f>IF(I2="w5 não aplicável","-",SUM('seg (5)'!$C$42+'ter (5)'!$C$42+'qua (5)'!$C$42+'qui (5)'!$C$42+'sex (5)'!$C$42+'sab (5)'!$C$42))</f>
        <v>-</v>
      </c>
      <c r="I83" s="39"/>
    </row>
    <row r="84" spans="2:9" ht="16.5" customHeight="1" x14ac:dyDescent="0.3">
      <c r="B84" s="14" t="s">
        <v>47</v>
      </c>
      <c r="C84" s="10">
        <f t="shared" si="12"/>
        <v>0</v>
      </c>
      <c r="D84" s="30">
        <f>SUM('seg (1)'!$C$43+'ter (1)'!$C$43+'qua (1)'!$C$43+'qui (1)'!$C$43+'sex (1)'!$C$43+'sab (1)'!$C$43)</f>
        <v>0</v>
      </c>
      <c r="E84" s="30">
        <f>SUM('seg (2)'!$C$43+'ter (2)'!$C$43+'qua (2)'!$C$43+'qui (2)'!$C$43+'sex (2)'!$C$43+'sab (2)'!$C$43)</f>
        <v>0</v>
      </c>
      <c r="F84" s="30">
        <f>SUM('seg (3)'!$C$43+'ter (3)'!$C$43+'qua (3)'!$C$43+'qui (3)'!$C$43+'sex (3)'!$C$43+'sab (3)'!$C$43)</f>
        <v>0</v>
      </c>
      <c r="G84" s="30">
        <f>SUM('seg (4)'!$C$43+'ter (4)'!$C$43+'qua (4)'!$C$43+'qui (4)'!$C$43+'sex (4)'!$C$43+'sab (4)'!$C$43)</f>
        <v>0</v>
      </c>
      <c r="H84" s="30" t="str">
        <f>IF(I2="w5 não aplicável","-",SUM('seg (5)'!$C$43+'ter (5)'!$C$43+'qua (5)'!$C$43+'qui (5)'!$C$43+'sex (5)'!$C$43+'sab (5)'!$C$43))</f>
        <v>-</v>
      </c>
      <c r="I84" s="39"/>
    </row>
    <row r="85" spans="2:9" ht="16.5" customHeight="1" x14ac:dyDescent="0.3">
      <c r="B85" s="14" t="s">
        <v>48</v>
      </c>
      <c r="C85" s="10">
        <f t="shared" si="12"/>
        <v>0</v>
      </c>
      <c r="D85" s="30">
        <f>SUM('seg (1)'!$C$44+'ter (1)'!$C$44+'qua (1)'!$C$44+'qui (1)'!$C$44+'sex (1)'!$C$44+'sab (1)'!$C$44)</f>
        <v>0</v>
      </c>
      <c r="E85" s="30">
        <f>SUM('seg (2)'!$C$44+'ter (2)'!$C$44+'qua (2)'!$C$44+'qui (2)'!$C$44+'sex (2)'!$C$44+'sab (2)'!$C$44)</f>
        <v>0</v>
      </c>
      <c r="F85" s="30">
        <f>SUM('seg (3)'!$C$44+'ter (3)'!$C$44+'qua (3)'!$C$44+'qui (3)'!$C$44+'sex (3)'!$C$44+'sab (3)'!$C$44)</f>
        <v>0</v>
      </c>
      <c r="G85" s="30">
        <f>SUM('seg (4)'!$C$44+'ter (4)'!$C$44+'qua (4)'!$C$44+'qui (4)'!$C$44+'sex (4)'!$C$44+'sab (4)'!$C$44)</f>
        <v>0</v>
      </c>
      <c r="H85" s="30" t="str">
        <f>IF(I2="w5 não aplicável","-",SUM('seg (5)'!$C$44+'ter (5)'!$C$44+'qua (5)'!$C$44+'qui (5)'!$C$44+'sex (5)'!$C$44+'sab (5)'!$C$44))</f>
        <v>-</v>
      </c>
      <c r="I85" s="39"/>
    </row>
    <row r="86" spans="2:9" ht="16.5" customHeight="1" x14ac:dyDescent="0.3">
      <c r="B86" s="11" t="s">
        <v>81</v>
      </c>
      <c r="C86" s="10">
        <f t="shared" si="12"/>
        <v>0</v>
      </c>
      <c r="D86" s="30">
        <f>SUM(D83:D85)</f>
        <v>0</v>
      </c>
      <c r="E86" s="30">
        <f>SUM(E83:E85)</f>
        <v>0</v>
      </c>
      <c r="F86" s="30">
        <f>SUM(F83:F85)</f>
        <v>0</v>
      </c>
      <c r="G86" s="30">
        <f>SUM(G83:G85)</f>
        <v>0</v>
      </c>
      <c r="H86" s="30" t="str">
        <f>IF(I2="w5 não aplicável","-",SUM(H83:H85))</f>
        <v>-</v>
      </c>
      <c r="I86" s="39"/>
    </row>
    <row r="87" spans="2:9" ht="16.5" customHeight="1" x14ac:dyDescent="0.3">
      <c r="B87" s="11"/>
      <c r="C87" s="10"/>
      <c r="D87" s="30"/>
      <c r="E87" s="30"/>
      <c r="F87" s="30"/>
      <c r="G87" s="30"/>
      <c r="I87" s="39"/>
    </row>
    <row r="88" spans="2:9" ht="16.5" customHeight="1" x14ac:dyDescent="0.3">
      <c r="B88" s="11"/>
      <c r="C88" s="10" t="s">
        <v>81</v>
      </c>
      <c r="D88" s="30" t="s">
        <v>70</v>
      </c>
      <c r="E88" s="30" t="s">
        <v>71</v>
      </c>
      <c r="F88" s="30" t="s">
        <v>72</v>
      </c>
      <c r="G88" s="30" t="s">
        <v>73</v>
      </c>
      <c r="H88" s="30" t="s">
        <v>74</v>
      </c>
      <c r="I88" s="32" t="str">
        <f>I2</f>
        <v>w5 não aplicável</v>
      </c>
    </row>
    <row r="89" spans="2:9" ht="16.5" customHeight="1" x14ac:dyDescent="0.3">
      <c r="B89" s="14" t="s">
        <v>42</v>
      </c>
      <c r="C89" s="10">
        <f t="shared" ref="C89:C92" si="13">SUM(D89:H89)</f>
        <v>0</v>
      </c>
      <c r="D89" s="30">
        <f>SUM('seg (1)'!$C$37+'ter (1)'!$C$37+'qua (1)'!$C$37+'qui (1)'!$C$37+'sex (1)'!$C$37+'sab (1)'!$C$37)</f>
        <v>0</v>
      </c>
      <c r="E89" s="30">
        <f>SUM('seg (2)'!$C$37+'ter (2)'!$C$37+'qua (2)'!$C$37+'qui (2)'!$C$37+'sex (2)'!$C$37+'sab (2)'!$C$37)</f>
        <v>0</v>
      </c>
      <c r="F89" s="30">
        <f>SUM('seg (3)'!$C$37+'ter (3)'!$C$37+'qua (3)'!$C$37+'qui (3)'!$C$37+'sex (3)'!$C$37+'sab (3)'!$C$37)</f>
        <v>0</v>
      </c>
      <c r="G89" s="30">
        <f>SUM('seg (4)'!$C$37+'ter (4)'!$C$37+'qua (4)'!$C$37+'qui (4)'!$C$37+'sex (4)'!$C$37+'sab (4)'!$C$37)</f>
        <v>0</v>
      </c>
      <c r="H89" s="30" t="str">
        <f>IF(I2="w5 não aplicável","-",SUM('seg (5)'!$C$37+'ter (5)'!$C$37+'qua (5)'!$C$37+'qui (5)'!$C$37+'sex (5)'!$C$37+'sab (5)'!$C$37))</f>
        <v>-</v>
      </c>
      <c r="I89" s="39"/>
    </row>
    <row r="90" spans="2:9" ht="16.5" customHeight="1" x14ac:dyDescent="0.3">
      <c r="B90" s="14" t="s">
        <v>43</v>
      </c>
      <c r="C90" s="10">
        <f t="shared" si="13"/>
        <v>0</v>
      </c>
      <c r="D90" s="30">
        <f>SUM('seg (1)'!$C$38+'ter (1)'!$C$38+'qua (1)'!$C$38+'qui (1)'!$C$38+'sex (1)'!$C$38+'sab (1)'!$C$38)</f>
        <v>0</v>
      </c>
      <c r="E90" s="30">
        <f>SUM('seg (2)'!$C$38+'ter (2)'!$C$38+'qua (2)'!$C$38+'qui (2)'!$C$38+'sex (2)'!$C$38+'sab (2)'!$C$38)</f>
        <v>0</v>
      </c>
      <c r="F90" s="30">
        <f>SUM('seg (3)'!$C$38+'ter (3)'!$C$38+'qua (3)'!$C$38+'qui (3)'!$C$38+'sex (3)'!$C$38+'sab (3)'!$C$38)</f>
        <v>0</v>
      </c>
      <c r="G90" s="30">
        <f>SUM('seg (4)'!$C$38+'ter (4)'!$C$38+'qua (4)'!$C$38+'qui (4)'!$C$38+'sex (4)'!$C$38+'sab (4)'!$C$38)</f>
        <v>0</v>
      </c>
      <c r="H90" s="30" t="str">
        <f>IF(I2="w5 não aplicável","-",SUM('seg (5)'!$C$38+'ter (5)'!$C$38+'qua (5)'!$C$38+'qui (5)'!$C$38+'sex (5)'!$C$38+'sab (5)'!$C$38))</f>
        <v>-</v>
      </c>
      <c r="I90" s="39"/>
    </row>
    <row r="91" spans="2:9" ht="16.5" customHeight="1" x14ac:dyDescent="0.3">
      <c r="B91" s="14" t="s">
        <v>44</v>
      </c>
      <c r="C91" s="10">
        <f t="shared" si="13"/>
        <v>0</v>
      </c>
      <c r="D91" s="30">
        <f>SUM('seg (1)'!$C$39+'ter (1)'!$C$39+'qua (1)'!$C$39+'qui (1)'!$C$39+'sex (1)'!$C$39+'sab (1)'!$C$39)</f>
        <v>0</v>
      </c>
      <c r="E91" s="30">
        <f>SUM('seg (2)'!$C$39+'ter (2)'!$C$39+'qua (2)'!$C$39+'qui (2)'!$C$39+'sex (2)'!$C$39+'sab (2)'!$C$39)</f>
        <v>0</v>
      </c>
      <c r="F91" s="30">
        <f>SUM('seg (3)'!$C$39+'ter (3)'!$C$39+'qua (3)'!$C$39+'qui (3)'!$C$39+'sex (3)'!$C$39+'sab (3)'!$C$39)</f>
        <v>0</v>
      </c>
      <c r="G91" s="30">
        <f>SUM('seg (4)'!$C$39+'ter (4)'!$C$39+'qua (4)'!$C$39+'qui (4)'!$C$39+'sex (4)'!$C$39+'sab (4)'!$C$39)</f>
        <v>0</v>
      </c>
      <c r="H91" s="30" t="str">
        <f>IF(I2="w5 não aplicável","-",SUM('seg (5)'!$C$39+'ter (5)'!$C$39+'qua (5)'!$C$39+'qui (5)'!$C$39+'sex (5)'!$C$39+'sab (5)'!$C$39))</f>
        <v>-</v>
      </c>
      <c r="I91" s="39"/>
    </row>
    <row r="92" spans="2:9" ht="16.5" customHeight="1" x14ac:dyDescent="0.3">
      <c r="B92" s="15" t="s">
        <v>81</v>
      </c>
      <c r="C92" s="10">
        <f t="shared" si="13"/>
        <v>0</v>
      </c>
      <c r="D92" s="30">
        <f>SUM(D89:D91)</f>
        <v>0</v>
      </c>
      <c r="E92" s="30">
        <f>SUM(E89:E91)</f>
        <v>0</v>
      </c>
      <c r="F92" s="30">
        <f>SUM(F89:F91)</f>
        <v>0</v>
      </c>
      <c r="G92" s="30">
        <f>SUM(G89:G91)</f>
        <v>0</v>
      </c>
      <c r="H92" s="30" t="str">
        <f>IF(I2="w5 não aplicável","-",SUM(H89:H91))</f>
        <v>-</v>
      </c>
      <c r="I92" s="39"/>
    </row>
    <row r="93" spans="2:9" ht="16.5" customHeight="1" x14ac:dyDescent="0.3">
      <c r="B93" s="15"/>
      <c r="C93" s="10"/>
      <c r="D93" s="30"/>
      <c r="E93" s="30"/>
      <c r="F93" s="30"/>
      <c r="G93" s="30"/>
      <c r="I93" s="39"/>
    </row>
    <row r="94" spans="2:9" ht="16.5" customHeight="1" x14ac:dyDescent="0.3">
      <c r="B94" s="15"/>
      <c r="C94" s="10" t="s">
        <v>81</v>
      </c>
      <c r="D94" s="30" t="s">
        <v>70</v>
      </c>
      <c r="E94" s="30" t="s">
        <v>71</v>
      </c>
      <c r="F94" s="30" t="s">
        <v>72</v>
      </c>
      <c r="G94" s="30" t="s">
        <v>73</v>
      </c>
      <c r="H94" s="30" t="s">
        <v>74</v>
      </c>
      <c r="I94" s="32" t="str">
        <f>I2</f>
        <v>w5 não aplicável</v>
      </c>
    </row>
    <row r="95" spans="2:9" ht="16.5" customHeight="1" x14ac:dyDescent="0.3">
      <c r="B95" s="14" t="s">
        <v>50</v>
      </c>
      <c r="C95" s="10">
        <f t="shared" ref="C95:C98" si="14">SUM(D95:H95)</f>
        <v>0</v>
      </c>
      <c r="D95" s="31">
        <f>SUM('seg (1)'!$C$47+'ter (1)'!$C$47+'qua (1)'!$C$47+'qui (1)'!$C$47+'sex (1)'!$C$47+'sab (1)'!$C$47)</f>
        <v>0</v>
      </c>
      <c r="E95" s="31">
        <f>SUM('seg (2)'!$C$47+'ter (2)'!$C$47+'qua (2)'!$C$47+'qui (2)'!$C$47+'sex (2)'!$C$47+'sab (2)'!$C$47)</f>
        <v>0</v>
      </c>
      <c r="F95" s="31">
        <f>SUM('seg (3)'!$C$47+'ter (3)'!$C$47+'qua (3)'!$C$47+'qui (3)'!$C$47+'sex (3)'!$C$47+'sab (3)'!$C$47)</f>
        <v>0</v>
      </c>
      <c r="G95" s="31">
        <f>SUM('seg (4)'!$C$47+'ter (4)'!$C$47+'qua (4)'!$C$47+'qui (4)'!$C$47+'sex (4)'!$C$47+'sab (4)'!$C$47)</f>
        <v>0</v>
      </c>
      <c r="H95" s="31" t="str">
        <f>IF(I2="w5 não aplicável","-",SUM('seg (5)'!$C$47+'ter (5)'!$C$47+'qua (5)'!$C$47+'qui (5)'!$C$47+'sex (5)'!$C$47+'sab (5)'!$C$47))</f>
        <v>-</v>
      </c>
      <c r="I95" s="39"/>
    </row>
    <row r="96" spans="2:9" ht="16.5" customHeight="1" x14ac:dyDescent="0.3">
      <c r="B96" s="14" t="s">
        <v>51</v>
      </c>
      <c r="C96" s="10">
        <f t="shared" si="14"/>
        <v>0</v>
      </c>
      <c r="D96" s="30">
        <f>SUM('seg (1)'!$C$48+'ter (1)'!$C$48+'qua (1)'!$C$48+'qui (1)'!$C$48+'sex (1)'!$C$48+'sab (1)'!$C$48)</f>
        <v>0</v>
      </c>
      <c r="E96" s="30">
        <f>SUM('seg (2)'!$C$48+'ter (2)'!$C$48+'qua (2)'!$C$48+'qui (2)'!$C$48+'sex (2)'!$C$48+'sab (2)'!$C$48)</f>
        <v>0</v>
      </c>
      <c r="F96" s="30">
        <f>SUM('seg (3)'!$C$48+'ter (3)'!$C$48+'qua (3)'!$C$48+'qui (3)'!$C$48+'sex (3)'!$C$48+'sab (3)'!$C$48)</f>
        <v>0</v>
      </c>
      <c r="G96" s="30">
        <f>SUM('seg (4)'!$C$48+'ter (4)'!$C$48+'qua (4)'!$C$48+'qui (4)'!$C$48+'sex (4)'!$C$48+'sab (4)'!$C$48)</f>
        <v>0</v>
      </c>
      <c r="H96" s="30" t="str">
        <f>IF(I2="w5 não aplicável","-",SUM('seg (5)'!$C$48+'ter (5)'!$C$48+'qua (5)'!$C$48+'qui (5)'!$C$48+'sex (5)'!$C$48+'sab (5)'!$C$48))</f>
        <v>-</v>
      </c>
      <c r="I96" s="39"/>
    </row>
    <row r="97" spans="2:9" ht="16.5" customHeight="1" x14ac:dyDescent="0.3">
      <c r="B97" s="14" t="s">
        <v>52</v>
      </c>
      <c r="C97" s="10">
        <f t="shared" si="14"/>
        <v>0</v>
      </c>
      <c r="D97" s="30">
        <f>SUM('seg (1)'!$C$49+'ter (1)'!$C$49+'qua (1)'!$C$49+'qui (1)'!$C$49+'sex (1)'!$C$49+'sab (1)'!$C$49)</f>
        <v>0</v>
      </c>
      <c r="E97" s="30">
        <f>SUM('seg (2)'!$C$49+'ter (2)'!$C$49+'qua (2)'!$C$49+'qui (2)'!$C$49+'sex (2)'!$C$49+'sab (2)'!$C$49)</f>
        <v>0</v>
      </c>
      <c r="F97" s="30">
        <f>SUM('seg (3)'!$C$49+'ter (3)'!$C$49+'qua (3)'!$C$49+'qui (3)'!$C$49+'sex (3)'!$C$49+'sab (3)'!$C$49)</f>
        <v>0</v>
      </c>
      <c r="G97" s="30">
        <f>SUM('seg (4)'!$C$49+'ter (4)'!$C$49+'qua (4)'!$C$49+'qui (4)'!$C$49+'sex (4)'!$C$49+'sab (4)'!$C$49)</f>
        <v>0</v>
      </c>
      <c r="H97" s="30" t="str">
        <f>IF(I2="w5 não aplicável","-",SUM('seg (5)'!$C$49+'ter (5)'!$C$49+'qua (5)'!$C$49+'qui (5)'!$C$49+'sex (5)'!$C$49+'sab (5)'!$C$49))</f>
        <v>-</v>
      </c>
      <c r="I97" s="39"/>
    </row>
    <row r="98" spans="2:9" ht="16.5" customHeight="1" x14ac:dyDescent="0.3">
      <c r="B98" s="15" t="s">
        <v>81</v>
      </c>
      <c r="C98" s="10">
        <f t="shared" si="14"/>
        <v>0</v>
      </c>
      <c r="D98" s="31">
        <f>SUM(D95:D97)</f>
        <v>0</v>
      </c>
      <c r="E98" s="31">
        <f>SUM(E95:E97)</f>
        <v>0</v>
      </c>
      <c r="F98" s="31">
        <f>SUM(F95:F97)</f>
        <v>0</v>
      </c>
      <c r="G98" s="31">
        <f>SUM(G95:G97)</f>
        <v>0</v>
      </c>
      <c r="H98" s="31" t="str">
        <f>IF(I2="w5 não aplicável","-",SUM(H95:H97))</f>
        <v>-</v>
      </c>
      <c r="I98" s="39"/>
    </row>
  </sheetData>
  <sheetProtection algorithmName="SHA-512" hashValue="1xGeiwssExunPZlWmZ9GKBqK5xJPaXkMcBMyOCKFaSgny0UrR4S+VjN/W/wVfwDkKZ6lJm+jmuRUSd3BdTPSGw==" saltValue="xaZCT0AJ76RUsNhmAHMkVQ==" spinCount="100000" sheet="1" objects="1" scenarios="1"/>
  <protectedRanges>
    <protectedRange sqref="D51:H54" name="Range2_1"/>
    <protectedRange sqref="D70:H79" name="Range2_1_1"/>
  </protectedRanges>
  <phoneticPr fontId="31" type="noConversion"/>
  <pageMargins left="0.25" right="0.25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26">
    <tabColor theme="5" tint="0.39997558519241921"/>
  </sheetPr>
  <dimension ref="B1:F58"/>
  <sheetViews>
    <sheetView showGridLines="0" zoomScaleNormal="100" zoomScaleSheetLayoutView="100" workbookViewId="0">
      <selection activeCell="C3" sqref="C3"/>
    </sheetView>
  </sheetViews>
  <sheetFormatPr defaultColWidth="9.21875" defaultRowHeight="16.5" customHeight="1" x14ac:dyDescent="0.25"/>
  <cols>
    <col min="1" max="1" width="2.77734375" style="59" customWidth="1"/>
    <col min="2" max="2" width="41" style="59" bestFit="1" customWidth="1"/>
    <col min="3" max="3" width="65.21875" style="59" customWidth="1"/>
    <col min="4" max="4" width="8.44140625" style="59" customWidth="1"/>
    <col min="5" max="5" width="12.21875" style="59" customWidth="1"/>
    <col min="6" max="6" width="16.5546875" style="59" customWidth="1"/>
    <col min="7" max="7" width="16.44140625" style="59" customWidth="1"/>
    <col min="8" max="8" width="20.21875" style="59" customWidth="1"/>
    <col min="9" max="9" width="24.44140625" style="59" customWidth="1"/>
    <col min="10" max="10" width="0" style="59" hidden="1" customWidth="1"/>
    <col min="11" max="16384" width="9.21875" style="59"/>
  </cols>
  <sheetData>
    <row r="1" spans="2:6" ht="9.75" customHeight="1" x14ac:dyDescent="0.25"/>
    <row r="2" spans="2:6" ht="48" customHeight="1" x14ac:dyDescent="0.25">
      <c r="B2" s="60"/>
      <c r="C2" s="61" t="s">
        <v>93</v>
      </c>
      <c r="F2" s="62"/>
    </row>
    <row r="3" spans="2:6" ht="16.5" customHeight="1" x14ac:dyDescent="0.25">
      <c r="B3" s="63" t="s">
        <v>94</v>
      </c>
      <c r="C3" s="6"/>
    </row>
    <row r="4" spans="2:6" ht="16.5" customHeight="1" x14ac:dyDescent="0.25">
      <c r="B4" s="63" t="s">
        <v>95</v>
      </c>
      <c r="C4" s="6"/>
    </row>
    <row r="5" spans="2:6" ht="16.5" customHeight="1" x14ac:dyDescent="0.25">
      <c r="B5" s="63" t="s">
        <v>96</v>
      </c>
      <c r="C5" s="6"/>
    </row>
    <row r="6" spans="2:6" ht="16.5" customHeight="1" x14ac:dyDescent="0.25">
      <c r="B6" s="63" t="s">
        <v>3</v>
      </c>
      <c r="C6" s="6"/>
    </row>
    <row r="7" spans="2:6" ht="16.5" customHeight="1" x14ac:dyDescent="0.25">
      <c r="B7" s="63" t="s">
        <v>97</v>
      </c>
      <c r="C7" s="6"/>
    </row>
    <row r="8" spans="2:6" ht="16.5" customHeight="1" x14ac:dyDescent="0.25">
      <c r="B8" s="63" t="s">
        <v>98</v>
      </c>
      <c r="C8" s="27"/>
    </row>
    <row r="9" spans="2:6" ht="16.5" customHeight="1" x14ac:dyDescent="0.25">
      <c r="B9" s="63" t="s">
        <v>99</v>
      </c>
      <c r="C9" s="6"/>
    </row>
    <row r="10" spans="2:6" ht="16.5" customHeight="1" x14ac:dyDescent="0.25">
      <c r="B10" s="64" t="s">
        <v>100</v>
      </c>
      <c r="C10" s="26"/>
    </row>
    <row r="11" spans="2:6" ht="16.5" customHeight="1" x14ac:dyDescent="0.25">
      <c r="B11" s="65" t="s">
        <v>101</v>
      </c>
      <c r="C11" s="6"/>
    </row>
    <row r="12" spans="2:6" ht="16.5" customHeight="1" x14ac:dyDescent="0.25">
      <c r="B12" s="196" t="s">
        <v>102</v>
      </c>
      <c r="C12" s="197"/>
    </row>
    <row r="13" spans="2:6" ht="16.5" customHeight="1" x14ac:dyDescent="0.25">
      <c r="B13" s="198" t="s">
        <v>103</v>
      </c>
      <c r="C13" s="199"/>
    </row>
    <row r="14" spans="2:6" ht="16.5" customHeight="1" x14ac:dyDescent="0.25">
      <c r="B14" s="66" t="s">
        <v>104</v>
      </c>
      <c r="C14" s="67" t="s">
        <v>69</v>
      </c>
    </row>
    <row r="15" spans="2:6" ht="16.5" customHeight="1" x14ac:dyDescent="0.25">
      <c r="B15" s="68">
        <v>45658</v>
      </c>
      <c r="C15" s="7"/>
    </row>
    <row r="16" spans="2:6" ht="16.5" customHeight="1" x14ac:dyDescent="0.25">
      <c r="B16" s="68">
        <v>45689</v>
      </c>
      <c r="C16" s="7"/>
    </row>
    <row r="17" spans="2:3" ht="16.5" customHeight="1" x14ac:dyDescent="0.25">
      <c r="B17" s="68">
        <v>45717</v>
      </c>
      <c r="C17" s="7"/>
    </row>
    <row r="18" spans="2:3" ht="16.5" customHeight="1" x14ac:dyDescent="0.25">
      <c r="B18" s="68">
        <v>45748</v>
      </c>
      <c r="C18" s="7"/>
    </row>
    <row r="19" spans="2:3" ht="16.5" customHeight="1" x14ac:dyDescent="0.25">
      <c r="B19" s="68">
        <v>45778</v>
      </c>
      <c r="C19" s="7"/>
    </row>
    <row r="20" spans="2:3" ht="16.5" customHeight="1" x14ac:dyDescent="0.25">
      <c r="B20" s="68">
        <v>45809</v>
      </c>
      <c r="C20" s="7"/>
    </row>
    <row r="21" spans="2:3" ht="16.5" customHeight="1" x14ac:dyDescent="0.25">
      <c r="B21" s="68">
        <v>45839</v>
      </c>
      <c r="C21" s="7"/>
    </row>
    <row r="22" spans="2:3" ht="16.5" customHeight="1" x14ac:dyDescent="0.25">
      <c r="B22" s="68">
        <v>45870</v>
      </c>
      <c r="C22" s="7"/>
    </row>
    <row r="23" spans="2:3" ht="16.5" customHeight="1" x14ac:dyDescent="0.25">
      <c r="B23" s="68">
        <v>45901</v>
      </c>
      <c r="C23" s="7"/>
    </row>
    <row r="24" spans="2:3" ht="16.5" customHeight="1" x14ac:dyDescent="0.25">
      <c r="B24" s="68">
        <v>45931</v>
      </c>
      <c r="C24" s="7"/>
    </row>
    <row r="25" spans="2:3" ht="16.5" customHeight="1" x14ac:dyDescent="0.25">
      <c r="B25" s="68">
        <v>45962</v>
      </c>
      <c r="C25" s="7"/>
    </row>
    <row r="26" spans="2:3" ht="16.5" customHeight="1" x14ac:dyDescent="0.25">
      <c r="B26" s="68">
        <v>45992</v>
      </c>
      <c r="C26" s="7"/>
    </row>
    <row r="27" spans="2:3" ht="16.5" customHeight="1" x14ac:dyDescent="0.25">
      <c r="B27" s="69" t="s">
        <v>105</v>
      </c>
      <c r="C27" s="7"/>
    </row>
    <row r="28" spans="2:3" ht="16.5" customHeight="1" x14ac:dyDescent="0.25">
      <c r="B28" s="70" t="s">
        <v>106</v>
      </c>
      <c r="C28" s="71" t="e">
        <f>AVERAGE(C15:C26)</f>
        <v>#DIV/0!</v>
      </c>
    </row>
    <row r="29" spans="2:3" ht="16.5" customHeight="1" x14ac:dyDescent="0.25">
      <c r="B29" s="198" t="s">
        <v>107</v>
      </c>
      <c r="C29" s="199"/>
    </row>
    <row r="30" spans="2:3" ht="16.5" customHeight="1" x14ac:dyDescent="0.25">
      <c r="B30" s="66" t="s">
        <v>104</v>
      </c>
      <c r="C30" s="67" t="s">
        <v>69</v>
      </c>
    </row>
    <row r="31" spans="2:3" ht="16.5" customHeight="1" x14ac:dyDescent="0.25">
      <c r="B31" s="68">
        <v>45658</v>
      </c>
      <c r="C31" s="7"/>
    </row>
    <row r="32" spans="2:3" ht="16.5" customHeight="1" x14ac:dyDescent="0.25">
      <c r="B32" s="68">
        <v>45689</v>
      </c>
      <c r="C32" s="7"/>
    </row>
    <row r="33" spans="2:3" ht="16.5" customHeight="1" x14ac:dyDescent="0.25">
      <c r="B33" s="68">
        <v>45717</v>
      </c>
      <c r="C33" s="7"/>
    </row>
    <row r="34" spans="2:3" ht="16.5" customHeight="1" x14ac:dyDescent="0.25">
      <c r="B34" s="68">
        <v>45748</v>
      </c>
      <c r="C34" s="7"/>
    </row>
    <row r="35" spans="2:3" ht="16.5" customHeight="1" x14ac:dyDescent="0.25">
      <c r="B35" s="68">
        <v>45778</v>
      </c>
      <c r="C35" s="7"/>
    </row>
    <row r="36" spans="2:3" ht="16.5" customHeight="1" x14ac:dyDescent="0.25">
      <c r="B36" s="68">
        <v>45809</v>
      </c>
      <c r="C36" s="7"/>
    </row>
    <row r="37" spans="2:3" ht="16.5" customHeight="1" x14ac:dyDescent="0.25">
      <c r="B37" s="68">
        <v>45839</v>
      </c>
      <c r="C37" s="7"/>
    </row>
    <row r="38" spans="2:3" ht="16.5" customHeight="1" x14ac:dyDescent="0.25">
      <c r="B38" s="68">
        <v>45870</v>
      </c>
      <c r="C38" s="7"/>
    </row>
    <row r="39" spans="2:3" ht="16.5" customHeight="1" x14ac:dyDescent="0.25">
      <c r="B39" s="68">
        <v>45901</v>
      </c>
      <c r="C39" s="7"/>
    </row>
    <row r="40" spans="2:3" ht="16.5" customHeight="1" x14ac:dyDescent="0.25">
      <c r="B40" s="68">
        <v>45931</v>
      </c>
      <c r="C40" s="7"/>
    </row>
    <row r="41" spans="2:3" ht="16.5" customHeight="1" x14ac:dyDescent="0.25">
      <c r="B41" s="68">
        <v>45962</v>
      </c>
      <c r="C41" s="7"/>
    </row>
    <row r="42" spans="2:3" ht="16.5" customHeight="1" x14ac:dyDescent="0.25">
      <c r="B42" s="68">
        <v>45992</v>
      </c>
      <c r="C42" s="7"/>
    </row>
    <row r="43" spans="2:3" ht="16.5" customHeight="1" x14ac:dyDescent="0.25">
      <c r="B43" s="69" t="s">
        <v>105</v>
      </c>
      <c r="C43" s="72" t="str">
        <f>Dados!C9</f>
        <v>-</v>
      </c>
    </row>
    <row r="44" spans="2:3" ht="16.5" customHeight="1" x14ac:dyDescent="0.25">
      <c r="B44" s="70" t="s">
        <v>106</v>
      </c>
      <c r="C44" s="71" t="e">
        <f>AVERAGE(C31:C42)</f>
        <v>#DIV/0!</v>
      </c>
    </row>
    <row r="45" spans="2:3" ht="16.5" customHeight="1" x14ac:dyDescent="0.3">
      <c r="B45"/>
      <c r="C45"/>
    </row>
    <row r="46" spans="2:3" ht="16.5" customHeight="1" x14ac:dyDescent="0.3">
      <c r="B46"/>
      <c r="C46"/>
    </row>
    <row r="47" spans="2:3" ht="16.5" customHeight="1" x14ac:dyDescent="0.3">
      <c r="B47"/>
      <c r="C47"/>
    </row>
    <row r="48" spans="2:3" ht="16.5" customHeight="1" x14ac:dyDescent="0.3">
      <c r="B48"/>
      <c r="C48"/>
    </row>
    <row r="49" spans="2:3" ht="16.5" customHeight="1" x14ac:dyDescent="0.3">
      <c r="B49"/>
      <c r="C49"/>
    </row>
    <row r="50" spans="2:3" ht="16.5" customHeight="1" x14ac:dyDescent="0.3">
      <c r="B50"/>
      <c r="C50"/>
    </row>
    <row r="51" spans="2:3" ht="16.5" customHeight="1" x14ac:dyDescent="0.3">
      <c r="B51"/>
      <c r="C51"/>
    </row>
    <row r="52" spans="2:3" ht="16.5" customHeight="1" x14ac:dyDescent="0.3">
      <c r="B52"/>
      <c r="C52"/>
    </row>
    <row r="53" spans="2:3" ht="16.5" customHeight="1" x14ac:dyDescent="0.3">
      <c r="B53"/>
      <c r="C53"/>
    </row>
    <row r="54" spans="2:3" ht="16.5" customHeight="1" x14ac:dyDescent="0.3">
      <c r="B54"/>
      <c r="C54"/>
    </row>
    <row r="55" spans="2:3" ht="16.5" customHeight="1" x14ac:dyDescent="0.3">
      <c r="B55"/>
      <c r="C55"/>
    </row>
    <row r="56" spans="2:3" ht="16.5" customHeight="1" x14ac:dyDescent="0.3">
      <c r="B56"/>
      <c r="C56"/>
    </row>
    <row r="57" spans="2:3" ht="16.5" customHeight="1" x14ac:dyDescent="0.3">
      <c r="B57"/>
      <c r="C57"/>
    </row>
    <row r="58" spans="2:3" ht="16.5" customHeight="1" x14ac:dyDescent="0.3">
      <c r="B58"/>
      <c r="C58"/>
    </row>
  </sheetData>
  <sheetProtection selectLockedCells="1"/>
  <mergeCells count="3">
    <mergeCell ref="B12:C12"/>
    <mergeCell ref="B13:C13"/>
    <mergeCell ref="B29:C29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69" orientation="portrait" horizontalDpi="300" r:id="rId1"/>
  <headerFooter>
    <oddHeader>&amp;R&amp;"Arial"&amp;11&amp;K000000INTERNAL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ilha27">
    <tabColor theme="5" tint="0.39997558519241921"/>
    <pageSetUpPr fitToPage="1"/>
  </sheetPr>
  <dimension ref="A1:K311"/>
  <sheetViews>
    <sheetView showGridLines="0" view="pageBreakPreview" topLeftCell="A167" zoomScale="130" zoomScaleNormal="100" zoomScaleSheetLayoutView="130" workbookViewId="0">
      <selection activeCell="J186" sqref="J186"/>
    </sheetView>
  </sheetViews>
  <sheetFormatPr defaultRowHeight="13.2" x14ac:dyDescent="0.25"/>
  <cols>
    <col min="1" max="1" width="17.44140625" style="62" customWidth="1"/>
    <col min="2" max="7" width="10.77734375" style="62" customWidth="1"/>
    <col min="8" max="8" width="16.21875" style="62" bestFit="1" customWidth="1"/>
    <col min="9" max="10" width="10.77734375" style="62" customWidth="1"/>
    <col min="11" max="11" width="9.21875" style="62"/>
    <col min="12" max="12" width="9" style="62" customWidth="1"/>
    <col min="13" max="256" width="9.21875" style="62"/>
    <col min="257" max="257" width="15.21875" style="62" customWidth="1"/>
    <col min="258" max="265" width="9.21875" style="62"/>
    <col min="266" max="266" width="10.21875" style="62" customWidth="1"/>
    <col min="267" max="267" width="9.21875" style="62"/>
    <col min="268" max="268" width="9" style="62" customWidth="1"/>
    <col min="269" max="512" width="9.21875" style="62"/>
    <col min="513" max="513" width="15.21875" style="62" customWidth="1"/>
    <col min="514" max="521" width="9.21875" style="62"/>
    <col min="522" max="522" width="10.21875" style="62" customWidth="1"/>
    <col min="523" max="523" width="9.21875" style="62"/>
    <col min="524" max="524" width="9" style="62" customWidth="1"/>
    <col min="525" max="768" width="9.21875" style="62"/>
    <col min="769" max="769" width="15.21875" style="62" customWidth="1"/>
    <col min="770" max="777" width="9.21875" style="62"/>
    <col min="778" max="778" width="10.21875" style="62" customWidth="1"/>
    <col min="779" max="779" width="9.21875" style="62"/>
    <col min="780" max="780" width="9" style="62" customWidth="1"/>
    <col min="781" max="1024" width="9.21875" style="62"/>
    <col min="1025" max="1025" width="15.21875" style="62" customWidth="1"/>
    <col min="1026" max="1033" width="9.21875" style="62"/>
    <col min="1034" max="1034" width="10.21875" style="62" customWidth="1"/>
    <col min="1035" max="1035" width="9.21875" style="62"/>
    <col min="1036" max="1036" width="9" style="62" customWidth="1"/>
    <col min="1037" max="1280" width="9.21875" style="62"/>
    <col min="1281" max="1281" width="15.21875" style="62" customWidth="1"/>
    <col min="1282" max="1289" width="9.21875" style="62"/>
    <col min="1290" max="1290" width="10.21875" style="62" customWidth="1"/>
    <col min="1291" max="1291" width="9.21875" style="62"/>
    <col min="1292" max="1292" width="9" style="62" customWidth="1"/>
    <col min="1293" max="1536" width="9.21875" style="62"/>
    <col min="1537" max="1537" width="15.21875" style="62" customWidth="1"/>
    <col min="1538" max="1545" width="9.21875" style="62"/>
    <col min="1546" max="1546" width="10.21875" style="62" customWidth="1"/>
    <col min="1547" max="1547" width="9.21875" style="62"/>
    <col min="1548" max="1548" width="9" style="62" customWidth="1"/>
    <col min="1549" max="1792" width="9.21875" style="62"/>
    <col min="1793" max="1793" width="15.21875" style="62" customWidth="1"/>
    <col min="1794" max="1801" width="9.21875" style="62"/>
    <col min="1802" max="1802" width="10.21875" style="62" customWidth="1"/>
    <col min="1803" max="1803" width="9.21875" style="62"/>
    <col min="1804" max="1804" width="9" style="62" customWidth="1"/>
    <col min="1805" max="2048" width="9.21875" style="62"/>
    <col min="2049" max="2049" width="15.21875" style="62" customWidth="1"/>
    <col min="2050" max="2057" width="9.21875" style="62"/>
    <col min="2058" max="2058" width="10.21875" style="62" customWidth="1"/>
    <col min="2059" max="2059" width="9.21875" style="62"/>
    <col min="2060" max="2060" width="9" style="62" customWidth="1"/>
    <col min="2061" max="2304" width="9.21875" style="62"/>
    <col min="2305" max="2305" width="15.21875" style="62" customWidth="1"/>
    <col min="2306" max="2313" width="9.21875" style="62"/>
    <col min="2314" max="2314" width="10.21875" style="62" customWidth="1"/>
    <col min="2315" max="2315" width="9.21875" style="62"/>
    <col min="2316" max="2316" width="9" style="62" customWidth="1"/>
    <col min="2317" max="2560" width="9.21875" style="62"/>
    <col min="2561" max="2561" width="15.21875" style="62" customWidth="1"/>
    <col min="2562" max="2569" width="9.21875" style="62"/>
    <col min="2570" max="2570" width="10.21875" style="62" customWidth="1"/>
    <col min="2571" max="2571" width="9.21875" style="62"/>
    <col min="2572" max="2572" width="9" style="62" customWidth="1"/>
    <col min="2573" max="2816" width="9.21875" style="62"/>
    <col min="2817" max="2817" width="15.21875" style="62" customWidth="1"/>
    <col min="2818" max="2825" width="9.21875" style="62"/>
    <col min="2826" max="2826" width="10.21875" style="62" customWidth="1"/>
    <col min="2827" max="2827" width="9.21875" style="62"/>
    <col min="2828" max="2828" width="9" style="62" customWidth="1"/>
    <col min="2829" max="3072" width="9.21875" style="62"/>
    <col min="3073" max="3073" width="15.21875" style="62" customWidth="1"/>
    <col min="3074" max="3081" width="9.21875" style="62"/>
    <col min="3082" max="3082" width="10.21875" style="62" customWidth="1"/>
    <col min="3083" max="3083" width="9.21875" style="62"/>
    <col min="3084" max="3084" width="9" style="62" customWidth="1"/>
    <col min="3085" max="3328" width="9.21875" style="62"/>
    <col min="3329" max="3329" width="15.21875" style="62" customWidth="1"/>
    <col min="3330" max="3337" width="9.21875" style="62"/>
    <col min="3338" max="3338" width="10.21875" style="62" customWidth="1"/>
    <col min="3339" max="3339" width="9.21875" style="62"/>
    <col min="3340" max="3340" width="9" style="62" customWidth="1"/>
    <col min="3341" max="3584" width="9.21875" style="62"/>
    <col min="3585" max="3585" width="15.21875" style="62" customWidth="1"/>
    <col min="3586" max="3593" width="9.21875" style="62"/>
    <col min="3594" max="3594" width="10.21875" style="62" customWidth="1"/>
    <col min="3595" max="3595" width="9.21875" style="62"/>
    <col min="3596" max="3596" width="9" style="62" customWidth="1"/>
    <col min="3597" max="3840" width="9.21875" style="62"/>
    <col min="3841" max="3841" width="15.21875" style="62" customWidth="1"/>
    <col min="3842" max="3849" width="9.21875" style="62"/>
    <col min="3850" max="3850" width="10.21875" style="62" customWidth="1"/>
    <col min="3851" max="3851" width="9.21875" style="62"/>
    <col min="3852" max="3852" width="9" style="62" customWidth="1"/>
    <col min="3853" max="4096" width="9.21875" style="62"/>
    <col min="4097" max="4097" width="15.21875" style="62" customWidth="1"/>
    <col min="4098" max="4105" width="9.21875" style="62"/>
    <col min="4106" max="4106" width="10.21875" style="62" customWidth="1"/>
    <col min="4107" max="4107" width="9.21875" style="62"/>
    <col min="4108" max="4108" width="9" style="62" customWidth="1"/>
    <col min="4109" max="4352" width="9.21875" style="62"/>
    <col min="4353" max="4353" width="15.21875" style="62" customWidth="1"/>
    <col min="4354" max="4361" width="9.21875" style="62"/>
    <col min="4362" max="4362" width="10.21875" style="62" customWidth="1"/>
    <col min="4363" max="4363" width="9.21875" style="62"/>
    <col min="4364" max="4364" width="9" style="62" customWidth="1"/>
    <col min="4365" max="4608" width="9.21875" style="62"/>
    <col min="4609" max="4609" width="15.21875" style="62" customWidth="1"/>
    <col min="4610" max="4617" width="9.21875" style="62"/>
    <col min="4618" max="4618" width="10.21875" style="62" customWidth="1"/>
    <col min="4619" max="4619" width="9.21875" style="62"/>
    <col min="4620" max="4620" width="9" style="62" customWidth="1"/>
    <col min="4621" max="4864" width="9.21875" style="62"/>
    <col min="4865" max="4865" width="15.21875" style="62" customWidth="1"/>
    <col min="4866" max="4873" width="9.21875" style="62"/>
    <col min="4874" max="4874" width="10.21875" style="62" customWidth="1"/>
    <col min="4875" max="4875" width="9.21875" style="62"/>
    <col min="4876" max="4876" width="9" style="62" customWidth="1"/>
    <col min="4877" max="5120" width="9.21875" style="62"/>
    <col min="5121" max="5121" width="15.21875" style="62" customWidth="1"/>
    <col min="5122" max="5129" width="9.21875" style="62"/>
    <col min="5130" max="5130" width="10.21875" style="62" customWidth="1"/>
    <col min="5131" max="5131" width="9.21875" style="62"/>
    <col min="5132" max="5132" width="9" style="62" customWidth="1"/>
    <col min="5133" max="5376" width="9.21875" style="62"/>
    <col min="5377" max="5377" width="15.21875" style="62" customWidth="1"/>
    <col min="5378" max="5385" width="9.21875" style="62"/>
    <col min="5386" max="5386" width="10.21875" style="62" customWidth="1"/>
    <col min="5387" max="5387" width="9.21875" style="62"/>
    <col min="5388" max="5388" width="9" style="62" customWidth="1"/>
    <col min="5389" max="5632" width="9.21875" style="62"/>
    <col min="5633" max="5633" width="15.21875" style="62" customWidth="1"/>
    <col min="5634" max="5641" width="9.21875" style="62"/>
    <col min="5642" max="5642" width="10.21875" style="62" customWidth="1"/>
    <col min="5643" max="5643" width="9.21875" style="62"/>
    <col min="5644" max="5644" width="9" style="62" customWidth="1"/>
    <col min="5645" max="5888" width="9.21875" style="62"/>
    <col min="5889" max="5889" width="15.21875" style="62" customWidth="1"/>
    <col min="5890" max="5897" width="9.21875" style="62"/>
    <col min="5898" max="5898" width="10.21875" style="62" customWidth="1"/>
    <col min="5899" max="5899" width="9.21875" style="62"/>
    <col min="5900" max="5900" width="9" style="62" customWidth="1"/>
    <col min="5901" max="6144" width="9.21875" style="62"/>
    <col min="6145" max="6145" width="15.21875" style="62" customWidth="1"/>
    <col min="6146" max="6153" width="9.21875" style="62"/>
    <col min="6154" max="6154" width="10.21875" style="62" customWidth="1"/>
    <col min="6155" max="6155" width="9.21875" style="62"/>
    <col min="6156" max="6156" width="9" style="62" customWidth="1"/>
    <col min="6157" max="6400" width="9.21875" style="62"/>
    <col min="6401" max="6401" width="15.21875" style="62" customWidth="1"/>
    <col min="6402" max="6409" width="9.21875" style="62"/>
    <col min="6410" max="6410" width="10.21875" style="62" customWidth="1"/>
    <col min="6411" max="6411" width="9.21875" style="62"/>
    <col min="6412" max="6412" width="9" style="62" customWidth="1"/>
    <col min="6413" max="6656" width="9.21875" style="62"/>
    <col min="6657" max="6657" width="15.21875" style="62" customWidth="1"/>
    <col min="6658" max="6665" width="9.21875" style="62"/>
    <col min="6666" max="6666" width="10.21875" style="62" customWidth="1"/>
    <col min="6667" max="6667" width="9.21875" style="62"/>
    <col min="6668" max="6668" width="9" style="62" customWidth="1"/>
    <col min="6669" max="6912" width="9.21875" style="62"/>
    <col min="6913" max="6913" width="15.21875" style="62" customWidth="1"/>
    <col min="6914" max="6921" width="9.21875" style="62"/>
    <col min="6922" max="6922" width="10.21875" style="62" customWidth="1"/>
    <col min="6923" max="6923" width="9.21875" style="62"/>
    <col min="6924" max="6924" width="9" style="62" customWidth="1"/>
    <col min="6925" max="7168" width="9.21875" style="62"/>
    <col min="7169" max="7169" width="15.21875" style="62" customWidth="1"/>
    <col min="7170" max="7177" width="9.21875" style="62"/>
    <col min="7178" max="7178" width="10.21875" style="62" customWidth="1"/>
    <col min="7179" max="7179" width="9.21875" style="62"/>
    <col min="7180" max="7180" width="9" style="62" customWidth="1"/>
    <col min="7181" max="7424" width="9.21875" style="62"/>
    <col min="7425" max="7425" width="15.21875" style="62" customWidth="1"/>
    <col min="7426" max="7433" width="9.21875" style="62"/>
    <col min="7434" max="7434" width="10.21875" style="62" customWidth="1"/>
    <col min="7435" max="7435" width="9.21875" style="62"/>
    <col min="7436" max="7436" width="9" style="62" customWidth="1"/>
    <col min="7437" max="7680" width="9.21875" style="62"/>
    <col min="7681" max="7681" width="15.21875" style="62" customWidth="1"/>
    <col min="7682" max="7689" width="9.21875" style="62"/>
    <col min="7690" max="7690" width="10.21875" style="62" customWidth="1"/>
    <col min="7691" max="7691" width="9.21875" style="62"/>
    <col min="7692" max="7692" width="9" style="62" customWidth="1"/>
    <col min="7693" max="7936" width="9.21875" style="62"/>
    <col min="7937" max="7937" width="15.21875" style="62" customWidth="1"/>
    <col min="7938" max="7945" width="9.21875" style="62"/>
    <col min="7946" max="7946" width="10.21875" style="62" customWidth="1"/>
    <col min="7947" max="7947" width="9.21875" style="62"/>
    <col min="7948" max="7948" width="9" style="62" customWidth="1"/>
    <col min="7949" max="8192" width="9.21875" style="62"/>
    <col min="8193" max="8193" width="15.21875" style="62" customWidth="1"/>
    <col min="8194" max="8201" width="9.21875" style="62"/>
    <col min="8202" max="8202" width="10.21875" style="62" customWidth="1"/>
    <col min="8203" max="8203" width="9.21875" style="62"/>
    <col min="8204" max="8204" width="9" style="62" customWidth="1"/>
    <col min="8205" max="8448" width="9.21875" style="62"/>
    <col min="8449" max="8449" width="15.21875" style="62" customWidth="1"/>
    <col min="8450" max="8457" width="9.21875" style="62"/>
    <col min="8458" max="8458" width="10.21875" style="62" customWidth="1"/>
    <col min="8459" max="8459" width="9.21875" style="62"/>
    <col min="8460" max="8460" width="9" style="62" customWidth="1"/>
    <col min="8461" max="8704" width="9.21875" style="62"/>
    <col min="8705" max="8705" width="15.21875" style="62" customWidth="1"/>
    <col min="8706" max="8713" width="9.21875" style="62"/>
    <col min="8714" max="8714" width="10.21875" style="62" customWidth="1"/>
    <col min="8715" max="8715" width="9.21875" style="62"/>
    <col min="8716" max="8716" width="9" style="62" customWidth="1"/>
    <col min="8717" max="8960" width="9.21875" style="62"/>
    <col min="8961" max="8961" width="15.21875" style="62" customWidth="1"/>
    <col min="8962" max="8969" width="9.21875" style="62"/>
    <col min="8970" max="8970" width="10.21875" style="62" customWidth="1"/>
    <col min="8971" max="8971" width="9.21875" style="62"/>
    <col min="8972" max="8972" width="9" style="62" customWidth="1"/>
    <col min="8973" max="9216" width="9.21875" style="62"/>
    <col min="9217" max="9217" width="15.21875" style="62" customWidth="1"/>
    <col min="9218" max="9225" width="9.21875" style="62"/>
    <col min="9226" max="9226" width="10.21875" style="62" customWidth="1"/>
    <col min="9227" max="9227" width="9.21875" style="62"/>
    <col min="9228" max="9228" width="9" style="62" customWidth="1"/>
    <col min="9229" max="9472" width="9.21875" style="62"/>
    <col min="9473" max="9473" width="15.21875" style="62" customWidth="1"/>
    <col min="9474" max="9481" width="9.21875" style="62"/>
    <col min="9482" max="9482" width="10.21875" style="62" customWidth="1"/>
    <col min="9483" max="9483" width="9.21875" style="62"/>
    <col min="9484" max="9484" width="9" style="62" customWidth="1"/>
    <col min="9485" max="9728" width="9.21875" style="62"/>
    <col min="9729" max="9729" width="15.21875" style="62" customWidth="1"/>
    <col min="9730" max="9737" width="9.21875" style="62"/>
    <col min="9738" max="9738" width="10.21875" style="62" customWidth="1"/>
    <col min="9739" max="9739" width="9.21875" style="62"/>
    <col min="9740" max="9740" width="9" style="62" customWidth="1"/>
    <col min="9741" max="9984" width="9.21875" style="62"/>
    <col min="9985" max="9985" width="15.21875" style="62" customWidth="1"/>
    <col min="9986" max="9993" width="9.21875" style="62"/>
    <col min="9994" max="9994" width="10.21875" style="62" customWidth="1"/>
    <col min="9995" max="9995" width="9.21875" style="62"/>
    <col min="9996" max="9996" width="9" style="62" customWidth="1"/>
    <col min="9997" max="10240" width="9.21875" style="62"/>
    <col min="10241" max="10241" width="15.21875" style="62" customWidth="1"/>
    <col min="10242" max="10249" width="9.21875" style="62"/>
    <col min="10250" max="10250" width="10.21875" style="62" customWidth="1"/>
    <col min="10251" max="10251" width="9.21875" style="62"/>
    <col min="10252" max="10252" width="9" style="62" customWidth="1"/>
    <col min="10253" max="10496" width="9.21875" style="62"/>
    <col min="10497" max="10497" width="15.21875" style="62" customWidth="1"/>
    <col min="10498" max="10505" width="9.21875" style="62"/>
    <col min="10506" max="10506" width="10.21875" style="62" customWidth="1"/>
    <col min="10507" max="10507" width="9.21875" style="62"/>
    <col min="10508" max="10508" width="9" style="62" customWidth="1"/>
    <col min="10509" max="10752" width="9.21875" style="62"/>
    <col min="10753" max="10753" width="15.21875" style="62" customWidth="1"/>
    <col min="10754" max="10761" width="9.21875" style="62"/>
    <col min="10762" max="10762" width="10.21875" style="62" customWidth="1"/>
    <col min="10763" max="10763" width="9.21875" style="62"/>
    <col min="10764" max="10764" width="9" style="62" customWidth="1"/>
    <col min="10765" max="11008" width="9.21875" style="62"/>
    <col min="11009" max="11009" width="15.21875" style="62" customWidth="1"/>
    <col min="11010" max="11017" width="9.21875" style="62"/>
    <col min="11018" max="11018" width="10.21875" style="62" customWidth="1"/>
    <col min="11019" max="11019" width="9.21875" style="62"/>
    <col min="11020" max="11020" width="9" style="62" customWidth="1"/>
    <col min="11021" max="11264" width="9.21875" style="62"/>
    <col min="11265" max="11265" width="15.21875" style="62" customWidth="1"/>
    <col min="11266" max="11273" width="9.21875" style="62"/>
    <col min="11274" max="11274" width="10.21875" style="62" customWidth="1"/>
    <col min="11275" max="11275" width="9.21875" style="62"/>
    <col min="11276" max="11276" width="9" style="62" customWidth="1"/>
    <col min="11277" max="11520" width="9.21875" style="62"/>
    <col min="11521" max="11521" width="15.21875" style="62" customWidth="1"/>
    <col min="11522" max="11529" width="9.21875" style="62"/>
    <col min="11530" max="11530" width="10.21875" style="62" customWidth="1"/>
    <col min="11531" max="11531" width="9.21875" style="62"/>
    <col min="11532" max="11532" width="9" style="62" customWidth="1"/>
    <col min="11533" max="11776" width="9.21875" style="62"/>
    <col min="11777" max="11777" width="15.21875" style="62" customWidth="1"/>
    <col min="11778" max="11785" width="9.21875" style="62"/>
    <col min="11786" max="11786" width="10.21875" style="62" customWidth="1"/>
    <col min="11787" max="11787" width="9.21875" style="62"/>
    <col min="11788" max="11788" width="9" style="62" customWidth="1"/>
    <col min="11789" max="12032" width="9.21875" style="62"/>
    <col min="12033" max="12033" width="15.21875" style="62" customWidth="1"/>
    <col min="12034" max="12041" width="9.21875" style="62"/>
    <col min="12042" max="12042" width="10.21875" style="62" customWidth="1"/>
    <col min="12043" max="12043" width="9.21875" style="62"/>
    <col min="12044" max="12044" width="9" style="62" customWidth="1"/>
    <col min="12045" max="12288" width="9.21875" style="62"/>
    <col min="12289" max="12289" width="15.21875" style="62" customWidth="1"/>
    <col min="12290" max="12297" width="9.21875" style="62"/>
    <col min="12298" max="12298" width="10.21875" style="62" customWidth="1"/>
    <col min="12299" max="12299" width="9.21875" style="62"/>
    <col min="12300" max="12300" width="9" style="62" customWidth="1"/>
    <col min="12301" max="12544" width="9.21875" style="62"/>
    <col min="12545" max="12545" width="15.21875" style="62" customWidth="1"/>
    <col min="12546" max="12553" width="9.21875" style="62"/>
    <col min="12554" max="12554" width="10.21875" style="62" customWidth="1"/>
    <col min="12555" max="12555" width="9.21875" style="62"/>
    <col min="12556" max="12556" width="9" style="62" customWidth="1"/>
    <col min="12557" max="12800" width="9.21875" style="62"/>
    <col min="12801" max="12801" width="15.21875" style="62" customWidth="1"/>
    <col min="12802" max="12809" width="9.21875" style="62"/>
    <col min="12810" max="12810" width="10.21875" style="62" customWidth="1"/>
    <col min="12811" max="12811" width="9.21875" style="62"/>
    <col min="12812" max="12812" width="9" style="62" customWidth="1"/>
    <col min="12813" max="13056" width="9.21875" style="62"/>
    <col min="13057" max="13057" width="15.21875" style="62" customWidth="1"/>
    <col min="13058" max="13065" width="9.21875" style="62"/>
    <col min="13066" max="13066" width="10.21875" style="62" customWidth="1"/>
    <col min="13067" max="13067" width="9.21875" style="62"/>
    <col min="13068" max="13068" width="9" style="62" customWidth="1"/>
    <col min="13069" max="13312" width="9.21875" style="62"/>
    <col min="13313" max="13313" width="15.21875" style="62" customWidth="1"/>
    <col min="13314" max="13321" width="9.21875" style="62"/>
    <col min="13322" max="13322" width="10.21875" style="62" customWidth="1"/>
    <col min="13323" max="13323" width="9.21875" style="62"/>
    <col min="13324" max="13324" width="9" style="62" customWidth="1"/>
    <col min="13325" max="13568" width="9.21875" style="62"/>
    <col min="13569" max="13569" width="15.21875" style="62" customWidth="1"/>
    <col min="13570" max="13577" width="9.21875" style="62"/>
    <col min="13578" max="13578" width="10.21875" style="62" customWidth="1"/>
    <col min="13579" max="13579" width="9.21875" style="62"/>
    <col min="13580" max="13580" width="9" style="62" customWidth="1"/>
    <col min="13581" max="13824" width="9.21875" style="62"/>
    <col min="13825" max="13825" width="15.21875" style="62" customWidth="1"/>
    <col min="13826" max="13833" width="9.21875" style="62"/>
    <col min="13834" max="13834" width="10.21875" style="62" customWidth="1"/>
    <col min="13835" max="13835" width="9.21875" style="62"/>
    <col min="13836" max="13836" width="9" style="62" customWidth="1"/>
    <col min="13837" max="14080" width="9.21875" style="62"/>
    <col min="14081" max="14081" width="15.21875" style="62" customWidth="1"/>
    <col min="14082" max="14089" width="9.21875" style="62"/>
    <col min="14090" max="14090" width="10.21875" style="62" customWidth="1"/>
    <col min="14091" max="14091" width="9.21875" style="62"/>
    <col min="14092" max="14092" width="9" style="62" customWidth="1"/>
    <col min="14093" max="14336" width="9.21875" style="62"/>
    <col min="14337" max="14337" width="15.21875" style="62" customWidth="1"/>
    <col min="14338" max="14345" width="9.21875" style="62"/>
    <col min="14346" max="14346" width="10.21875" style="62" customWidth="1"/>
    <col min="14347" max="14347" width="9.21875" style="62"/>
    <col min="14348" max="14348" width="9" style="62" customWidth="1"/>
    <col min="14349" max="14592" width="9.21875" style="62"/>
    <col min="14593" max="14593" width="15.21875" style="62" customWidth="1"/>
    <col min="14594" max="14601" width="9.21875" style="62"/>
    <col min="14602" max="14602" width="10.21875" style="62" customWidth="1"/>
    <col min="14603" max="14603" width="9.21875" style="62"/>
    <col min="14604" max="14604" width="9" style="62" customWidth="1"/>
    <col min="14605" max="14848" width="9.21875" style="62"/>
    <col min="14849" max="14849" width="15.21875" style="62" customWidth="1"/>
    <col min="14850" max="14857" width="9.21875" style="62"/>
    <col min="14858" max="14858" width="10.21875" style="62" customWidth="1"/>
    <col min="14859" max="14859" width="9.21875" style="62"/>
    <col min="14860" max="14860" width="9" style="62" customWidth="1"/>
    <col min="14861" max="15104" width="9.21875" style="62"/>
    <col min="15105" max="15105" width="15.21875" style="62" customWidth="1"/>
    <col min="15106" max="15113" width="9.21875" style="62"/>
    <col min="15114" max="15114" width="10.21875" style="62" customWidth="1"/>
    <col min="15115" max="15115" width="9.21875" style="62"/>
    <col min="15116" max="15116" width="9" style="62" customWidth="1"/>
    <col min="15117" max="15360" width="9.21875" style="62"/>
    <col min="15361" max="15361" width="15.21875" style="62" customWidth="1"/>
    <col min="15362" max="15369" width="9.21875" style="62"/>
    <col min="15370" max="15370" width="10.21875" style="62" customWidth="1"/>
    <col min="15371" max="15371" width="9.21875" style="62"/>
    <col min="15372" max="15372" width="9" style="62" customWidth="1"/>
    <col min="15373" max="15616" width="9.21875" style="62"/>
    <col min="15617" max="15617" width="15.21875" style="62" customWidth="1"/>
    <col min="15618" max="15625" width="9.21875" style="62"/>
    <col min="15626" max="15626" width="10.21875" style="62" customWidth="1"/>
    <col min="15627" max="15627" width="9.21875" style="62"/>
    <col min="15628" max="15628" width="9" style="62" customWidth="1"/>
    <col min="15629" max="15872" width="9.21875" style="62"/>
    <col min="15873" max="15873" width="15.21875" style="62" customWidth="1"/>
    <col min="15874" max="15881" width="9.21875" style="62"/>
    <col min="15882" max="15882" width="10.21875" style="62" customWidth="1"/>
    <col min="15883" max="15883" width="9.21875" style="62"/>
    <col min="15884" max="15884" width="9" style="62" customWidth="1"/>
    <col min="15885" max="16128" width="9.21875" style="62"/>
    <col min="16129" max="16129" width="15.21875" style="62" customWidth="1"/>
    <col min="16130" max="16137" width="9.21875" style="62"/>
    <col min="16138" max="16138" width="10.21875" style="62" customWidth="1"/>
    <col min="16139" max="16139" width="9.21875" style="62"/>
    <col min="16140" max="16140" width="9" style="62" customWidth="1"/>
    <col min="16141" max="16384" width="9.21875" style="62"/>
  </cols>
  <sheetData>
    <row r="1" spans="1:11" ht="13.5" customHeight="1" x14ac:dyDescent="0.25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73"/>
    </row>
    <row r="2" spans="1:11" ht="13.5" customHeight="1" x14ac:dyDescent="0.3">
      <c r="A2" s="206" t="s">
        <v>108</v>
      </c>
      <c r="B2" s="206"/>
      <c r="C2" s="206"/>
      <c r="D2" s="206"/>
      <c r="E2" s="206"/>
      <c r="F2" s="206"/>
      <c r="G2" s="206"/>
      <c r="H2" s="206"/>
      <c r="I2" s="206"/>
      <c r="J2" s="206"/>
    </row>
    <row r="3" spans="1:11" ht="13.5" customHeight="1" x14ac:dyDescent="0.3">
      <c r="A3" s="207">
        <f>'Dados Relatório Mensal'!C3</f>
        <v>0</v>
      </c>
      <c r="B3" s="207"/>
      <c r="C3" s="207"/>
      <c r="D3" s="207"/>
      <c r="E3" s="207"/>
      <c r="F3" s="207"/>
      <c r="G3" s="207"/>
      <c r="H3" s="207"/>
      <c r="I3" s="207"/>
      <c r="J3" s="207"/>
    </row>
    <row r="4" spans="1:11" ht="13.5" customHeight="1" x14ac:dyDescent="0.25">
      <c r="A4" s="208">
        <f>'Dados Relatório Mensal'!C5</f>
        <v>0</v>
      </c>
      <c r="B4" s="208"/>
      <c r="C4" s="208"/>
      <c r="D4" s="208"/>
      <c r="E4" s="208"/>
      <c r="F4" s="208"/>
      <c r="G4" s="208"/>
      <c r="H4" s="208"/>
      <c r="I4" s="208"/>
      <c r="J4" s="208"/>
    </row>
    <row r="5" spans="1:11" ht="13.5" customHeight="1" x14ac:dyDescent="0.25">
      <c r="A5" s="209">
        <f>'Dados Relatório Mensal'!C4</f>
        <v>0</v>
      </c>
      <c r="B5" s="209"/>
      <c r="C5" s="209"/>
      <c r="D5" s="209"/>
      <c r="E5" s="209"/>
      <c r="F5" s="209"/>
      <c r="G5" s="209"/>
      <c r="H5" s="209"/>
      <c r="I5" s="209"/>
      <c r="J5" s="209"/>
    </row>
    <row r="6" spans="1:11" ht="10.5" customHeight="1" x14ac:dyDescent="0.25">
      <c r="B6" s="74"/>
      <c r="C6" s="74"/>
      <c r="D6" s="74"/>
      <c r="F6" s="74"/>
      <c r="G6" s="74"/>
      <c r="H6" s="74"/>
    </row>
    <row r="7" spans="1:11" ht="17.25" customHeight="1" x14ac:dyDescent="0.25">
      <c r="A7" s="214">
        <f>'Dados Relatório Mensal'!C6</f>
        <v>0</v>
      </c>
      <c r="B7" s="214"/>
      <c r="C7" s="214"/>
      <c r="D7" s="214"/>
      <c r="E7" s="214"/>
      <c r="F7" s="214"/>
      <c r="G7" s="214"/>
      <c r="H7" s="214"/>
      <c r="I7" s="214"/>
      <c r="J7" s="214"/>
    </row>
    <row r="8" spans="1:11" ht="12" customHeight="1" x14ac:dyDescent="0.25">
      <c r="A8" s="202">
        <f>'Dados Relatório Mensal'!C7</f>
        <v>0</v>
      </c>
      <c r="B8" s="202"/>
      <c r="C8" s="202"/>
      <c r="D8" s="202"/>
      <c r="E8" s="202"/>
      <c r="F8" s="202"/>
      <c r="G8" s="202"/>
      <c r="H8" s="202"/>
      <c r="I8" s="202"/>
      <c r="J8" s="202"/>
    </row>
    <row r="9" spans="1:11" ht="16.5" customHeight="1" x14ac:dyDescent="0.25">
      <c r="A9" s="76" t="str">
        <f>'Dados Relatório Mensal'!B9</f>
        <v>Avaliado por:</v>
      </c>
      <c r="B9" s="212">
        <f>'Dados Relatório Mensal'!C9</f>
        <v>0</v>
      </c>
      <c r="C9" s="212"/>
      <c r="D9" s="77"/>
      <c r="G9" s="77"/>
      <c r="H9" s="77"/>
      <c r="I9" s="210" t="s">
        <v>109</v>
      </c>
      <c r="J9" s="210"/>
    </row>
    <row r="10" spans="1:11" ht="16.5" customHeight="1" x14ac:dyDescent="0.3">
      <c r="A10" s="78" t="str">
        <f>'Dados Relatório Mensal'!B10</f>
        <v>Data de emissão:</v>
      </c>
      <c r="B10" s="213">
        <f>'Dados Relatório Mensal'!C10</f>
        <v>0</v>
      </c>
      <c r="C10" s="213"/>
      <c r="G10" s="79"/>
      <c r="H10" s="80"/>
      <c r="I10" s="211">
        <f>'Dados Relatório Mensal'!C8</f>
        <v>0</v>
      </c>
      <c r="J10" s="211"/>
    </row>
    <row r="11" spans="1:11" ht="7.5" customHeight="1" x14ac:dyDescent="0.25">
      <c r="A11" s="81"/>
      <c r="B11" s="81"/>
      <c r="C11" s="81"/>
      <c r="D11" s="82"/>
      <c r="E11" s="82"/>
      <c r="F11" s="82"/>
      <c r="G11" s="83"/>
      <c r="H11" s="82"/>
      <c r="I11" s="84"/>
      <c r="J11" s="84"/>
    </row>
    <row r="12" spans="1:11" x14ac:dyDescent="0.25">
      <c r="A12" s="201" t="s">
        <v>110</v>
      </c>
      <c r="B12" s="201"/>
      <c r="C12" s="201"/>
      <c r="D12" s="201"/>
      <c r="E12" s="201"/>
      <c r="F12" s="201"/>
      <c r="G12" s="201"/>
      <c r="H12" s="201"/>
      <c r="I12" s="201"/>
      <c r="J12" s="201"/>
    </row>
    <row r="14" spans="1:11" x14ac:dyDescent="0.25">
      <c r="D14" s="85" t="s">
        <v>111</v>
      </c>
    </row>
    <row r="15" spans="1:11" ht="14.25" customHeight="1" x14ac:dyDescent="0.25">
      <c r="E15" s="85"/>
      <c r="F15" s="85"/>
      <c r="G15" s="85"/>
      <c r="H15" s="85"/>
      <c r="I15" s="85"/>
      <c r="J15" s="85"/>
    </row>
    <row r="16" spans="1:11" ht="14.25" customHeight="1" x14ac:dyDescent="0.25">
      <c r="D16" s="203" t="s">
        <v>112</v>
      </c>
      <c r="E16" s="203"/>
      <c r="F16" s="203"/>
      <c r="G16" s="203"/>
      <c r="H16" s="203"/>
      <c r="I16" s="203"/>
      <c r="J16" s="203"/>
    </row>
    <row r="17" spans="2:10" ht="12.75" customHeight="1" x14ac:dyDescent="0.25">
      <c r="D17" s="203"/>
      <c r="E17" s="203"/>
      <c r="F17" s="203"/>
      <c r="G17" s="203"/>
      <c r="H17" s="203"/>
      <c r="I17" s="203"/>
      <c r="J17" s="203"/>
    </row>
    <row r="18" spans="2:10" ht="13.8" thickBot="1" x14ac:dyDescent="0.3"/>
    <row r="19" spans="2:10" ht="13.8" thickTop="1" x14ac:dyDescent="0.25">
      <c r="B19" s="86"/>
      <c r="C19" s="86"/>
      <c r="D19" s="86"/>
      <c r="E19" s="86"/>
      <c r="F19" s="86"/>
      <c r="G19" s="86"/>
      <c r="H19" s="86"/>
      <c r="I19" s="86"/>
    </row>
    <row r="20" spans="2:10" x14ac:dyDescent="0.25">
      <c r="B20" s="87" t="s">
        <v>113</v>
      </c>
      <c r="C20" s="87"/>
      <c r="D20" s="88">
        <f>'Dados Relatório Mensal'!C27</f>
        <v>0</v>
      </c>
      <c r="E20" s="77"/>
      <c r="F20" s="77" t="str">
        <f>IF(D20&gt;7,"[Ok - Meta Alcançada]","[Resultado Abaixo da Meta]")</f>
        <v>[Resultado Abaixo da Meta]</v>
      </c>
      <c r="H20" s="87"/>
      <c r="I20" s="87"/>
      <c r="J20" s="87"/>
    </row>
    <row r="21" spans="2:10" ht="13.8" thickBot="1" x14ac:dyDescent="0.3">
      <c r="B21" s="89"/>
      <c r="C21" s="89"/>
      <c r="D21" s="89"/>
      <c r="E21" s="90"/>
      <c r="F21" s="90"/>
      <c r="G21" s="89"/>
      <c r="H21" s="89"/>
      <c r="I21" s="89"/>
      <c r="J21" s="87"/>
    </row>
    <row r="22" spans="2:10" ht="13.8" thickTop="1" x14ac:dyDescent="0.25"/>
    <row r="45" spans="1:10" ht="12.75" customHeight="1" x14ac:dyDescent="0.25">
      <c r="A45" s="201" t="s">
        <v>114</v>
      </c>
      <c r="B45" s="201"/>
      <c r="C45" s="201"/>
      <c r="D45" s="201"/>
      <c r="E45" s="201"/>
      <c r="F45" s="201"/>
      <c r="G45" s="201"/>
      <c r="H45" s="201"/>
      <c r="I45" s="201"/>
      <c r="J45" s="201"/>
    </row>
    <row r="46" spans="1:10" x14ac:dyDescent="0.25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0" x14ac:dyDescent="0.25">
      <c r="A47" s="73" t="s">
        <v>115</v>
      </c>
    </row>
    <row r="48" spans="1:10" x14ac:dyDescent="0.25">
      <c r="A48" s="73"/>
    </row>
    <row r="70" spans="1:10" ht="18" customHeight="1" thickBot="1" x14ac:dyDescent="0.3"/>
    <row r="71" spans="1:10" ht="13.8" thickTop="1" x14ac:dyDescent="0.25">
      <c r="B71" s="86"/>
      <c r="C71" s="86"/>
      <c r="D71" s="86"/>
      <c r="E71" s="86"/>
      <c r="F71" s="86"/>
      <c r="G71" s="86"/>
      <c r="H71" s="86"/>
      <c r="I71" s="86"/>
    </row>
    <row r="72" spans="1:10" x14ac:dyDescent="0.25">
      <c r="B72" s="87" t="s">
        <v>116</v>
      </c>
      <c r="C72" s="87"/>
      <c r="D72" s="19" t="str">
        <f>'Dados Relatório Mensal'!C43</f>
        <v>-</v>
      </c>
      <c r="E72" s="77"/>
      <c r="F72" s="77" t="str">
        <f>IF(D72&gt;7,"[Ok - Meta Alcançada]","[Resultado Abaixo da Meta]")</f>
        <v>[Ok - Meta Alcançada]</v>
      </c>
      <c r="H72" s="87"/>
      <c r="I72" s="87"/>
      <c r="J72" s="87"/>
    </row>
    <row r="73" spans="1:10" ht="13.8" thickBot="1" x14ac:dyDescent="0.3">
      <c r="B73" s="89"/>
      <c r="C73" s="89"/>
      <c r="D73" s="89"/>
      <c r="E73" s="90"/>
      <c r="F73" s="90"/>
      <c r="G73" s="89"/>
      <c r="H73" s="89"/>
      <c r="I73" s="89"/>
      <c r="J73" s="87"/>
    </row>
    <row r="74" spans="1:10" ht="13.8" thickTop="1" x14ac:dyDescent="0.25">
      <c r="B74" s="87"/>
      <c r="C74" s="87"/>
      <c r="D74" s="87"/>
      <c r="G74" s="87"/>
      <c r="H74" s="87"/>
      <c r="I74" s="87"/>
      <c r="J74" s="87"/>
    </row>
    <row r="75" spans="1:10" x14ac:dyDescent="0.25">
      <c r="B75" s="87"/>
      <c r="C75" s="87"/>
      <c r="D75" s="87"/>
      <c r="G75" s="87"/>
      <c r="H75" s="87"/>
      <c r="I75" s="87"/>
      <c r="J75" s="87"/>
    </row>
    <row r="76" spans="1:10" x14ac:dyDescent="0.25">
      <c r="A76" s="91" t="s">
        <v>117</v>
      </c>
    </row>
    <row r="88" spans="1:3" x14ac:dyDescent="0.25">
      <c r="A88" s="8"/>
    </row>
    <row r="89" spans="1:3" x14ac:dyDescent="0.25">
      <c r="B89" s="92"/>
    </row>
    <row r="91" spans="1:3" x14ac:dyDescent="0.25">
      <c r="B91" s="93"/>
    </row>
    <row r="95" spans="1:3" x14ac:dyDescent="0.25">
      <c r="B95" s="9"/>
      <c r="C95" s="94"/>
    </row>
    <row r="96" spans="1:3" x14ac:dyDescent="0.25">
      <c r="B96" s="9"/>
      <c r="C96" s="94"/>
    </row>
    <row r="97" spans="1:10" x14ac:dyDescent="0.25">
      <c r="B97" s="9"/>
      <c r="C97" s="94"/>
    </row>
    <row r="98" spans="1:10" x14ac:dyDescent="0.25">
      <c r="B98" s="9"/>
      <c r="C98" s="94"/>
    </row>
    <row r="99" spans="1:10" x14ac:dyDescent="0.25">
      <c r="B99" s="9"/>
      <c r="C99" s="94"/>
    </row>
    <row r="100" spans="1:10" x14ac:dyDescent="0.25">
      <c r="B100" s="9"/>
      <c r="C100" s="94"/>
    </row>
    <row r="101" spans="1:10" x14ac:dyDescent="0.25">
      <c r="B101" s="9"/>
      <c r="C101" s="94"/>
    </row>
    <row r="102" spans="1:10" x14ac:dyDescent="0.25">
      <c r="B102" s="9"/>
      <c r="C102" s="94"/>
    </row>
    <row r="103" spans="1:10" x14ac:dyDescent="0.25">
      <c r="B103" s="9"/>
      <c r="C103" s="94"/>
    </row>
    <row r="104" spans="1:10" x14ac:dyDescent="0.25">
      <c r="B104" s="9"/>
      <c r="C104" s="94"/>
    </row>
    <row r="105" spans="1:10" x14ac:dyDescent="0.25">
      <c r="B105" s="9"/>
      <c r="C105" s="94"/>
    </row>
    <row r="106" spans="1:10" x14ac:dyDescent="0.25">
      <c r="A106" s="95"/>
      <c r="B106" s="59"/>
      <c r="C106" s="59"/>
      <c r="D106" s="59"/>
      <c r="E106" s="59"/>
      <c r="F106" s="59"/>
      <c r="G106" s="59"/>
      <c r="H106" s="59"/>
      <c r="I106" s="59"/>
      <c r="J106" s="59"/>
    </row>
    <row r="107" spans="1:10" ht="12.75" customHeight="1" x14ac:dyDescent="0.25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</row>
    <row r="108" spans="1:10" x14ac:dyDescent="0.25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</row>
    <row r="109" spans="1:10" x14ac:dyDescent="0.25">
      <c r="A109" s="96"/>
      <c r="B109" s="96"/>
      <c r="C109" s="96"/>
      <c r="D109" s="96"/>
      <c r="E109" s="96"/>
      <c r="F109" s="96"/>
      <c r="G109" s="96"/>
      <c r="H109" s="96"/>
      <c r="I109" s="96"/>
      <c r="J109" s="96"/>
    </row>
    <row r="110" spans="1:10" x14ac:dyDescent="0.25">
      <c r="A110" s="97"/>
      <c r="B110" s="97"/>
      <c r="C110" s="97"/>
      <c r="D110" s="97"/>
      <c r="E110" s="97"/>
      <c r="F110" s="97"/>
      <c r="G110" s="97"/>
      <c r="H110" s="97"/>
      <c r="I110" s="97"/>
      <c r="J110" s="97"/>
    </row>
    <row r="111" spans="1:10" x14ac:dyDescent="0.25">
      <c r="A111" s="98"/>
      <c r="B111" s="99"/>
      <c r="C111" s="99"/>
      <c r="D111" s="99"/>
      <c r="E111" s="99"/>
      <c r="F111" s="99"/>
      <c r="G111" s="99"/>
      <c r="H111" s="99"/>
      <c r="I111" s="99"/>
      <c r="J111" s="99"/>
    </row>
    <row r="112" spans="1:10" x14ac:dyDescent="0.25">
      <c r="A112" s="59"/>
      <c r="B112" s="59"/>
      <c r="C112" s="59"/>
      <c r="D112" s="95"/>
      <c r="E112" s="59"/>
      <c r="F112" s="59"/>
      <c r="G112" s="59"/>
      <c r="H112" s="59"/>
      <c r="I112" s="59"/>
      <c r="J112" s="59"/>
    </row>
    <row r="113" spans="1:10" x14ac:dyDescent="0.25">
      <c r="A113" s="200"/>
      <c r="B113" s="59"/>
      <c r="C113" s="59"/>
      <c r="D113" s="59"/>
      <c r="E113" s="59"/>
      <c r="F113" s="59"/>
      <c r="G113" s="59"/>
      <c r="H113" s="59"/>
      <c r="I113" s="59"/>
      <c r="J113" s="59"/>
    </row>
    <row r="114" spans="1:10" x14ac:dyDescent="0.25">
      <c r="A114" s="200"/>
      <c r="B114" s="59"/>
      <c r="C114" s="59"/>
      <c r="D114" s="59"/>
      <c r="E114" s="59"/>
      <c r="F114" s="59"/>
      <c r="G114" s="59"/>
      <c r="H114" s="59"/>
      <c r="I114" s="59"/>
      <c r="J114" s="59"/>
    </row>
    <row r="115" spans="1:10" x14ac:dyDescent="0.25">
      <c r="A115" s="59"/>
      <c r="B115" s="59"/>
      <c r="C115" s="59"/>
      <c r="D115" s="59"/>
      <c r="E115" s="59"/>
      <c r="F115" s="59"/>
      <c r="G115" s="59"/>
      <c r="H115" s="59"/>
      <c r="I115" s="59"/>
      <c r="J115" s="59"/>
    </row>
    <row r="116" spans="1:10" x14ac:dyDescent="0.25">
      <c r="A116" s="59"/>
      <c r="B116" s="59"/>
      <c r="C116" s="59"/>
      <c r="D116" s="95"/>
      <c r="E116" s="59"/>
      <c r="F116" s="59"/>
      <c r="G116" s="59"/>
      <c r="H116" s="59"/>
      <c r="I116" s="59"/>
      <c r="J116" s="59"/>
    </row>
    <row r="117" spans="1:10" x14ac:dyDescent="0.25">
      <c r="A117" s="59"/>
      <c r="B117" s="59"/>
      <c r="C117" s="59"/>
      <c r="D117" s="95"/>
      <c r="E117" s="59"/>
      <c r="F117" s="59"/>
      <c r="G117" s="59"/>
      <c r="H117" s="59"/>
      <c r="I117" s="59"/>
      <c r="J117" s="59"/>
    </row>
    <row r="118" spans="1:10" x14ac:dyDescent="0.25">
      <c r="A118" s="200"/>
      <c r="B118" s="59"/>
      <c r="C118" s="59"/>
      <c r="D118" s="59"/>
      <c r="E118" s="59"/>
      <c r="F118" s="59"/>
      <c r="G118" s="59"/>
      <c r="H118" s="59"/>
      <c r="I118" s="59"/>
      <c r="J118" s="59"/>
    </row>
    <row r="119" spans="1:10" x14ac:dyDescent="0.25">
      <c r="A119" s="200"/>
      <c r="B119" s="59"/>
      <c r="C119" s="59"/>
      <c r="D119" s="59"/>
      <c r="E119" s="59"/>
      <c r="F119" s="59"/>
      <c r="G119" s="59"/>
      <c r="H119" s="59"/>
      <c r="I119" s="59"/>
      <c r="J119" s="59"/>
    </row>
    <row r="120" spans="1:10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</row>
    <row r="121" spans="1:10" x14ac:dyDescent="0.25">
      <c r="A121" s="59"/>
      <c r="B121" s="59"/>
      <c r="C121" s="59"/>
      <c r="D121" s="95"/>
      <c r="E121" s="59"/>
      <c r="F121" s="59"/>
      <c r="G121" s="59"/>
      <c r="H121" s="59"/>
      <c r="I121" s="59"/>
      <c r="J121" s="59"/>
    </row>
    <row r="122" spans="1:10" x14ac:dyDescent="0.25">
      <c r="A122" s="59"/>
      <c r="B122" s="59"/>
      <c r="C122" s="59"/>
      <c r="D122" s="95"/>
      <c r="E122" s="59"/>
      <c r="F122" s="59"/>
      <c r="G122" s="59"/>
      <c r="H122" s="59"/>
      <c r="I122" s="59"/>
      <c r="J122" s="59"/>
    </row>
    <row r="123" spans="1:10" x14ac:dyDescent="0.25">
      <c r="A123" s="200"/>
      <c r="B123" s="59"/>
      <c r="C123" s="59"/>
      <c r="D123" s="59"/>
      <c r="E123" s="59"/>
      <c r="F123" s="59"/>
      <c r="G123" s="59"/>
      <c r="H123" s="59"/>
      <c r="I123" s="59"/>
      <c r="J123" s="59"/>
    </row>
    <row r="124" spans="1:10" x14ac:dyDescent="0.25">
      <c r="A124" s="200"/>
      <c r="B124" s="59"/>
      <c r="C124" s="59"/>
      <c r="D124" s="59"/>
      <c r="E124" s="59"/>
      <c r="F124" s="59"/>
      <c r="G124" s="59"/>
      <c r="H124" s="59"/>
      <c r="I124" s="59"/>
      <c r="J124" s="59"/>
    </row>
    <row r="125" spans="1:10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</row>
    <row r="126" spans="1:10" x14ac:dyDescent="0.25">
      <c r="A126" s="59"/>
      <c r="B126" s="59"/>
      <c r="C126" s="59"/>
      <c r="D126" s="95"/>
      <c r="E126" s="59"/>
      <c r="F126" s="59"/>
      <c r="G126" s="59"/>
      <c r="H126" s="59"/>
      <c r="I126" s="59"/>
      <c r="J126" s="59"/>
    </row>
    <row r="127" spans="1:10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</row>
    <row r="128" spans="1:10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</row>
    <row r="129" spans="1:10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</row>
    <row r="130" spans="1:10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</row>
    <row r="131" spans="1:10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</row>
    <row r="132" spans="1:10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</row>
    <row r="133" spans="1:10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</row>
    <row r="134" spans="1:10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</row>
    <row r="135" spans="1:10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</row>
    <row r="136" spans="1:10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</row>
    <row r="137" spans="1:10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</row>
    <row r="138" spans="1:10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</row>
    <row r="139" spans="1:10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</row>
    <row r="140" spans="1:10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</row>
    <row r="141" spans="1:10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</row>
    <row r="142" spans="1:10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</row>
    <row r="143" spans="1:10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</row>
    <row r="144" spans="1:10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</row>
    <row r="145" spans="1:10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</row>
    <row r="146" spans="1:10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</row>
    <row r="147" spans="1:10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</row>
    <row r="148" spans="1:10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</row>
    <row r="149" spans="1:10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</row>
    <row r="150" spans="1:10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</row>
    <row r="151" spans="1:10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</row>
    <row r="152" spans="1:10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</row>
    <row r="153" spans="1:10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</row>
    <row r="154" spans="1:10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</row>
    <row r="155" spans="1:10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</row>
    <row r="156" spans="1:10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</row>
    <row r="157" spans="1:10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</row>
    <row r="158" spans="1:10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</row>
    <row r="159" spans="1:10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</row>
    <row r="160" spans="1:10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</row>
    <row r="161" spans="1:10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</row>
    <row r="162" spans="1:10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</row>
    <row r="163" spans="1:10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</row>
    <row r="164" spans="1:10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</row>
    <row r="165" spans="1:10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</row>
    <row r="166" spans="1:10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</row>
    <row r="167" spans="1:10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</row>
    <row r="168" spans="1:10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</row>
    <row r="169" spans="1:10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</row>
    <row r="170" spans="1:10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</row>
    <row r="171" spans="1:10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</row>
    <row r="172" spans="1:10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</row>
    <row r="173" spans="1:10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</row>
    <row r="174" spans="1:10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</row>
    <row r="175" spans="1:10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</row>
    <row r="176" spans="1:10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</row>
    <row r="177" spans="1:10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</row>
    <row r="178" spans="1:10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</row>
    <row r="179" spans="1:10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</row>
    <row r="180" spans="1:10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</row>
    <row r="181" spans="1:10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</row>
    <row r="182" spans="1:10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</row>
    <row r="183" spans="1:10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</row>
    <row r="184" spans="1:10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</row>
    <row r="185" spans="1:10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</row>
    <row r="186" spans="1:10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</row>
    <row r="187" spans="1:10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</row>
    <row r="188" spans="1:10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</row>
    <row r="189" spans="1:10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</row>
    <row r="190" spans="1:10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</row>
    <row r="191" spans="1:10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</row>
    <row r="192" spans="1:10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</row>
    <row r="193" spans="1:10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</row>
    <row r="194" spans="1:10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</row>
    <row r="195" spans="1:10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</row>
    <row r="196" spans="1:10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</row>
    <row r="197" spans="1:10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</row>
    <row r="198" spans="1:10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</row>
    <row r="199" spans="1:10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</row>
    <row r="200" spans="1:10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</row>
    <row r="201" spans="1:10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</row>
    <row r="202" spans="1:10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</row>
    <row r="203" spans="1:10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</row>
    <row r="204" spans="1:10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</row>
    <row r="205" spans="1:10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</row>
    <row r="206" spans="1:10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</row>
    <row r="207" spans="1:10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</row>
    <row r="208" spans="1:10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</row>
    <row r="209" spans="1:10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</row>
    <row r="210" spans="1:10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</row>
    <row r="211" spans="1:10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</row>
    <row r="212" spans="1:10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</row>
    <row r="213" spans="1:10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</row>
    <row r="214" spans="1:10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</row>
    <row r="215" spans="1:10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</row>
    <row r="216" spans="1:10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</row>
    <row r="217" spans="1:10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</row>
    <row r="218" spans="1:10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</row>
    <row r="219" spans="1:10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</row>
    <row r="220" spans="1:10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</row>
    <row r="221" spans="1:10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</row>
    <row r="222" spans="1:10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</row>
    <row r="223" spans="1:10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</row>
    <row r="224" spans="1:10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</row>
    <row r="225" spans="1:10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</row>
    <row r="226" spans="1:10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</row>
    <row r="227" spans="1:10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</row>
    <row r="228" spans="1:10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</row>
    <row r="229" spans="1:10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</row>
    <row r="230" spans="1:10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</row>
    <row r="231" spans="1:10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</row>
    <row r="232" spans="1:10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</row>
    <row r="233" spans="1:10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</row>
    <row r="234" spans="1:10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</row>
    <row r="235" spans="1:10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</row>
    <row r="236" spans="1:10" x14ac:dyDescent="0.25">
      <c r="A236" s="59"/>
      <c r="B236" s="59"/>
      <c r="C236" s="59"/>
      <c r="D236" s="59"/>
      <c r="E236" s="59"/>
      <c r="F236" s="59"/>
      <c r="G236" s="59"/>
      <c r="H236" s="59"/>
      <c r="I236" s="59"/>
      <c r="J236" s="59"/>
    </row>
    <row r="237" spans="1:10" x14ac:dyDescent="0.25">
      <c r="A237" s="59"/>
      <c r="B237" s="59"/>
      <c r="C237" s="59"/>
      <c r="D237" s="59"/>
      <c r="E237" s="59"/>
      <c r="F237" s="59"/>
      <c r="G237" s="59"/>
      <c r="H237" s="59"/>
      <c r="I237" s="59"/>
      <c r="J237" s="59"/>
    </row>
    <row r="238" spans="1:10" x14ac:dyDescent="0.25">
      <c r="A238" s="59"/>
      <c r="B238" s="59"/>
      <c r="C238" s="59"/>
      <c r="D238" s="59"/>
      <c r="E238" s="59"/>
      <c r="F238" s="59"/>
      <c r="G238" s="59"/>
      <c r="H238" s="59"/>
      <c r="I238" s="59"/>
      <c r="J238" s="59"/>
    </row>
    <row r="239" spans="1:10" x14ac:dyDescent="0.25">
      <c r="A239" s="59"/>
      <c r="B239" s="59"/>
      <c r="C239" s="59"/>
      <c r="D239" s="59"/>
      <c r="E239" s="59"/>
      <c r="F239" s="59"/>
      <c r="G239" s="59"/>
      <c r="H239" s="59"/>
      <c r="I239" s="59"/>
      <c r="J239" s="59"/>
    </row>
    <row r="240" spans="1:10" x14ac:dyDescent="0.25">
      <c r="A240" s="59"/>
      <c r="B240" s="59"/>
      <c r="C240" s="59"/>
      <c r="D240" s="59"/>
      <c r="E240" s="59"/>
      <c r="F240" s="59"/>
      <c r="G240" s="59"/>
      <c r="H240" s="59"/>
      <c r="I240" s="59"/>
      <c r="J240" s="59"/>
    </row>
    <row r="241" spans="1:10" x14ac:dyDescent="0.25">
      <c r="A241" s="59"/>
      <c r="B241" s="59"/>
      <c r="C241" s="59"/>
      <c r="D241" s="59"/>
      <c r="E241" s="59"/>
      <c r="F241" s="59"/>
      <c r="G241" s="59"/>
      <c r="H241" s="59"/>
      <c r="I241" s="59"/>
      <c r="J241" s="59"/>
    </row>
    <row r="242" spans="1:10" x14ac:dyDescent="0.25">
      <c r="A242" s="59"/>
      <c r="B242" s="59"/>
      <c r="C242" s="59"/>
      <c r="D242" s="59"/>
      <c r="E242" s="59"/>
      <c r="F242" s="59"/>
      <c r="G242" s="59"/>
      <c r="H242" s="59"/>
      <c r="I242" s="59"/>
      <c r="J242" s="59"/>
    </row>
    <row r="243" spans="1:10" x14ac:dyDescent="0.25">
      <c r="A243" s="59"/>
      <c r="B243" s="59"/>
      <c r="C243" s="59"/>
      <c r="D243" s="59"/>
      <c r="E243" s="59"/>
      <c r="F243" s="59"/>
      <c r="G243" s="59"/>
      <c r="H243" s="59"/>
      <c r="I243" s="59"/>
      <c r="J243" s="59"/>
    </row>
    <row r="244" spans="1:10" x14ac:dyDescent="0.25">
      <c r="A244" s="59"/>
      <c r="B244" s="59"/>
      <c r="C244" s="59"/>
      <c r="D244" s="59"/>
      <c r="E244" s="59"/>
      <c r="F244" s="59"/>
      <c r="G244" s="59"/>
      <c r="H244" s="59"/>
      <c r="I244" s="59"/>
      <c r="J244" s="59"/>
    </row>
    <row r="245" spans="1:10" x14ac:dyDescent="0.25">
      <c r="A245" s="59"/>
      <c r="B245" s="59"/>
      <c r="C245" s="59"/>
      <c r="D245" s="59"/>
      <c r="E245" s="59"/>
      <c r="F245" s="59"/>
      <c r="G245" s="59"/>
      <c r="H245" s="59"/>
      <c r="I245" s="59"/>
      <c r="J245" s="59"/>
    </row>
    <row r="246" spans="1:10" x14ac:dyDescent="0.25">
      <c r="A246" s="59"/>
      <c r="B246" s="59"/>
      <c r="C246" s="59"/>
      <c r="D246" s="59"/>
      <c r="E246" s="59"/>
      <c r="F246" s="59"/>
      <c r="G246" s="59"/>
      <c r="H246" s="59"/>
      <c r="I246" s="59"/>
      <c r="J246" s="59"/>
    </row>
    <row r="247" spans="1:10" x14ac:dyDescent="0.25">
      <c r="A247" s="59"/>
      <c r="B247" s="59"/>
      <c r="C247" s="59"/>
      <c r="D247" s="59"/>
      <c r="E247" s="59"/>
      <c r="F247" s="59"/>
      <c r="G247" s="59"/>
      <c r="H247" s="59"/>
      <c r="I247" s="59"/>
      <c r="J247" s="59"/>
    </row>
    <row r="248" spans="1:10" x14ac:dyDescent="0.25">
      <c r="A248" s="59"/>
      <c r="B248" s="59"/>
      <c r="C248" s="59"/>
      <c r="D248" s="59"/>
      <c r="E248" s="59"/>
      <c r="F248" s="59"/>
      <c r="G248" s="59"/>
      <c r="H248" s="59"/>
      <c r="I248" s="59"/>
      <c r="J248" s="59"/>
    </row>
    <row r="249" spans="1:10" x14ac:dyDescent="0.25">
      <c r="A249" s="59"/>
      <c r="B249" s="59"/>
      <c r="C249" s="59"/>
      <c r="D249" s="59"/>
      <c r="E249" s="59"/>
      <c r="F249" s="59"/>
      <c r="G249" s="59"/>
      <c r="H249" s="59"/>
      <c r="I249" s="59"/>
      <c r="J249" s="59"/>
    </row>
    <row r="250" spans="1:10" x14ac:dyDescent="0.25">
      <c r="A250" s="59"/>
      <c r="B250" s="59"/>
      <c r="C250" s="59"/>
      <c r="D250" s="59"/>
      <c r="E250" s="59"/>
      <c r="F250" s="59"/>
      <c r="G250" s="59"/>
      <c r="H250" s="59"/>
      <c r="I250" s="59"/>
      <c r="J250" s="59"/>
    </row>
    <row r="251" spans="1:10" x14ac:dyDescent="0.25">
      <c r="A251" s="59"/>
      <c r="B251" s="59"/>
      <c r="C251" s="59"/>
      <c r="D251" s="59"/>
      <c r="E251" s="59"/>
      <c r="F251" s="59"/>
      <c r="G251" s="59"/>
      <c r="H251" s="59"/>
      <c r="I251" s="59"/>
      <c r="J251" s="59"/>
    </row>
    <row r="252" spans="1:10" x14ac:dyDescent="0.25">
      <c r="A252" s="59"/>
      <c r="B252" s="59"/>
      <c r="C252" s="59"/>
      <c r="D252" s="59"/>
      <c r="E252" s="59"/>
      <c r="F252" s="59"/>
      <c r="G252" s="59"/>
      <c r="H252" s="59"/>
      <c r="I252" s="59"/>
      <c r="J252" s="59"/>
    </row>
    <row r="253" spans="1:10" x14ac:dyDescent="0.25">
      <c r="A253" s="59"/>
      <c r="B253" s="59"/>
      <c r="C253" s="59"/>
      <c r="D253" s="59"/>
      <c r="E253" s="59"/>
      <c r="F253" s="59"/>
      <c r="G253" s="59"/>
      <c r="H253" s="59"/>
      <c r="I253" s="59"/>
      <c r="J253" s="59"/>
    </row>
    <row r="254" spans="1:10" x14ac:dyDescent="0.25">
      <c r="A254" s="59"/>
      <c r="B254" s="59"/>
      <c r="C254" s="59"/>
      <c r="D254" s="59"/>
      <c r="E254" s="59"/>
      <c r="F254" s="59"/>
      <c r="G254" s="59"/>
      <c r="H254" s="59"/>
      <c r="I254" s="59"/>
      <c r="J254" s="59"/>
    </row>
    <row r="255" spans="1:10" x14ac:dyDescent="0.25">
      <c r="A255" s="59"/>
      <c r="B255" s="59"/>
      <c r="C255" s="59"/>
      <c r="D255" s="59"/>
      <c r="E255" s="59"/>
      <c r="F255" s="59"/>
      <c r="G255" s="59"/>
      <c r="H255" s="59"/>
      <c r="I255" s="59"/>
      <c r="J255" s="59"/>
    </row>
    <row r="256" spans="1:10" x14ac:dyDescent="0.25">
      <c r="A256" s="59"/>
      <c r="B256" s="59"/>
      <c r="C256" s="59"/>
      <c r="D256" s="59"/>
      <c r="E256" s="59"/>
      <c r="F256" s="59"/>
      <c r="G256" s="59"/>
      <c r="H256" s="59"/>
      <c r="I256" s="59"/>
      <c r="J256" s="59"/>
    </row>
    <row r="257" spans="1:10" x14ac:dyDescent="0.25">
      <c r="A257" s="59"/>
      <c r="B257" s="59"/>
      <c r="C257" s="59"/>
      <c r="D257" s="59"/>
      <c r="E257" s="59"/>
      <c r="F257" s="59"/>
      <c r="G257" s="59"/>
      <c r="H257" s="59"/>
      <c r="I257" s="59"/>
      <c r="J257" s="59"/>
    </row>
    <row r="258" spans="1:10" x14ac:dyDescent="0.25">
      <c r="A258" s="59"/>
      <c r="B258" s="59"/>
      <c r="C258" s="59"/>
      <c r="D258" s="59"/>
      <c r="E258" s="59"/>
      <c r="F258" s="59"/>
      <c r="G258" s="59"/>
      <c r="H258" s="59"/>
      <c r="I258" s="59"/>
      <c r="J258" s="59"/>
    </row>
    <row r="259" spans="1:10" x14ac:dyDescent="0.25">
      <c r="A259" s="59"/>
      <c r="B259" s="59"/>
      <c r="C259" s="59"/>
      <c r="D259" s="59"/>
      <c r="E259" s="59"/>
      <c r="F259" s="59"/>
      <c r="G259" s="59"/>
      <c r="H259" s="59"/>
      <c r="I259" s="59"/>
      <c r="J259" s="59"/>
    </row>
    <row r="260" spans="1:10" x14ac:dyDescent="0.25">
      <c r="A260" s="59"/>
      <c r="B260" s="59"/>
      <c r="C260" s="59"/>
      <c r="D260" s="59"/>
      <c r="E260" s="59"/>
      <c r="F260" s="59"/>
      <c r="G260" s="59"/>
      <c r="H260" s="59"/>
      <c r="I260" s="59"/>
      <c r="J260" s="59"/>
    </row>
    <row r="261" spans="1:10" x14ac:dyDescent="0.25">
      <c r="A261" s="59"/>
      <c r="B261" s="59"/>
      <c r="C261" s="59"/>
      <c r="D261" s="59"/>
      <c r="E261" s="59"/>
      <c r="F261" s="59"/>
      <c r="G261" s="59"/>
      <c r="H261" s="59"/>
      <c r="I261" s="59"/>
      <c r="J261" s="59"/>
    </row>
    <row r="262" spans="1:10" x14ac:dyDescent="0.25">
      <c r="A262" s="59"/>
      <c r="B262" s="59"/>
      <c r="C262" s="59"/>
      <c r="D262" s="59"/>
      <c r="E262" s="59"/>
      <c r="F262" s="59"/>
      <c r="G262" s="59"/>
      <c r="H262" s="59"/>
      <c r="I262" s="59"/>
      <c r="J262" s="59"/>
    </row>
    <row r="263" spans="1:10" x14ac:dyDescent="0.25">
      <c r="A263" s="59"/>
      <c r="B263" s="59"/>
      <c r="C263" s="59"/>
      <c r="D263" s="59"/>
      <c r="E263" s="59"/>
      <c r="F263" s="59"/>
      <c r="G263" s="59"/>
      <c r="H263" s="59"/>
      <c r="I263" s="59"/>
      <c r="J263" s="59"/>
    </row>
    <row r="264" spans="1:10" x14ac:dyDescent="0.25">
      <c r="A264" s="59"/>
      <c r="B264" s="59"/>
      <c r="C264" s="59"/>
      <c r="D264" s="59"/>
      <c r="E264" s="59"/>
      <c r="F264" s="59"/>
      <c r="G264" s="59"/>
      <c r="H264" s="59"/>
      <c r="I264" s="59"/>
      <c r="J264" s="59"/>
    </row>
    <row r="265" spans="1:10" x14ac:dyDescent="0.25">
      <c r="A265" s="59"/>
      <c r="B265" s="59"/>
      <c r="C265" s="59"/>
      <c r="D265" s="59"/>
      <c r="E265" s="59"/>
      <c r="F265" s="59"/>
      <c r="G265" s="59"/>
      <c r="H265" s="59"/>
      <c r="I265" s="59"/>
      <c r="J265" s="59"/>
    </row>
    <row r="266" spans="1:10" x14ac:dyDescent="0.25">
      <c r="A266" s="59"/>
      <c r="B266" s="59"/>
      <c r="C266" s="59"/>
      <c r="D266" s="59"/>
      <c r="E266" s="59"/>
      <c r="F266" s="59"/>
      <c r="G266" s="59"/>
      <c r="H266" s="59"/>
      <c r="I266" s="59"/>
      <c r="J266" s="59"/>
    </row>
    <row r="267" spans="1:10" x14ac:dyDescent="0.25">
      <c r="A267" s="59"/>
      <c r="B267" s="59"/>
      <c r="C267" s="59"/>
      <c r="D267" s="59"/>
      <c r="E267" s="59"/>
      <c r="F267" s="59"/>
      <c r="G267" s="59"/>
      <c r="H267" s="59"/>
      <c r="I267" s="59"/>
      <c r="J267" s="59"/>
    </row>
    <row r="268" spans="1:10" x14ac:dyDescent="0.25">
      <c r="A268" s="59"/>
      <c r="B268" s="59"/>
      <c r="C268" s="59"/>
      <c r="D268" s="59"/>
      <c r="E268" s="59"/>
      <c r="F268" s="59"/>
      <c r="G268" s="59"/>
      <c r="H268" s="59"/>
      <c r="I268" s="59"/>
      <c r="J268" s="59"/>
    </row>
    <row r="269" spans="1:10" x14ac:dyDescent="0.25">
      <c r="A269" s="59"/>
      <c r="B269" s="59"/>
      <c r="C269" s="59"/>
      <c r="D269" s="59"/>
      <c r="E269" s="59"/>
      <c r="F269" s="59"/>
      <c r="G269" s="59"/>
      <c r="H269" s="59"/>
      <c r="I269" s="59"/>
      <c r="J269" s="59"/>
    </row>
    <row r="270" spans="1:10" x14ac:dyDescent="0.25">
      <c r="A270" s="59"/>
      <c r="B270" s="59"/>
      <c r="C270" s="59"/>
      <c r="D270" s="59"/>
      <c r="E270" s="59"/>
      <c r="F270" s="59"/>
      <c r="G270" s="59"/>
      <c r="H270" s="59"/>
      <c r="I270" s="59"/>
      <c r="J270" s="59"/>
    </row>
    <row r="271" spans="1:10" x14ac:dyDescent="0.25">
      <c r="A271" s="59"/>
      <c r="B271" s="59"/>
      <c r="C271" s="59"/>
      <c r="D271" s="59"/>
      <c r="E271" s="59"/>
      <c r="F271" s="59"/>
      <c r="G271" s="59"/>
      <c r="H271" s="59"/>
      <c r="I271" s="59"/>
      <c r="J271" s="59"/>
    </row>
    <row r="272" spans="1:10" x14ac:dyDescent="0.25">
      <c r="A272" s="59"/>
      <c r="B272" s="59"/>
      <c r="C272" s="59"/>
      <c r="D272" s="59"/>
      <c r="E272" s="59"/>
      <c r="F272" s="59"/>
      <c r="G272" s="59"/>
      <c r="H272" s="59"/>
      <c r="I272" s="59"/>
      <c r="J272" s="59"/>
    </row>
    <row r="273" spans="1:10" x14ac:dyDescent="0.25">
      <c r="A273" s="59"/>
      <c r="B273" s="59"/>
      <c r="C273" s="59"/>
      <c r="D273" s="59"/>
      <c r="E273" s="59"/>
      <c r="F273" s="59"/>
      <c r="G273" s="59"/>
      <c r="H273" s="59"/>
      <c r="I273" s="59"/>
      <c r="J273" s="59"/>
    </row>
    <row r="274" spans="1:10" x14ac:dyDescent="0.25">
      <c r="A274" s="59"/>
      <c r="B274" s="59"/>
      <c r="C274" s="59"/>
      <c r="D274" s="59"/>
      <c r="E274" s="59"/>
      <c r="F274" s="59"/>
      <c r="G274" s="59"/>
      <c r="H274" s="59"/>
      <c r="I274" s="59"/>
      <c r="J274" s="59"/>
    </row>
    <row r="275" spans="1:10" x14ac:dyDescent="0.25">
      <c r="A275" s="59"/>
      <c r="B275" s="59"/>
      <c r="C275" s="59"/>
      <c r="D275" s="59"/>
      <c r="E275" s="59"/>
      <c r="F275" s="59"/>
      <c r="G275" s="59"/>
      <c r="H275" s="59"/>
      <c r="I275" s="59"/>
      <c r="J275" s="59"/>
    </row>
    <row r="276" spans="1:10" x14ac:dyDescent="0.25">
      <c r="A276" s="59"/>
      <c r="B276" s="59"/>
      <c r="C276" s="59"/>
      <c r="D276" s="59"/>
      <c r="E276" s="59"/>
      <c r="F276" s="59"/>
      <c r="G276" s="59"/>
      <c r="H276" s="59"/>
      <c r="I276" s="59"/>
      <c r="J276" s="59"/>
    </row>
    <row r="277" spans="1:10" x14ac:dyDescent="0.25">
      <c r="A277" s="59"/>
      <c r="B277" s="59"/>
      <c r="C277" s="59"/>
      <c r="D277" s="59"/>
      <c r="E277" s="59"/>
      <c r="F277" s="59"/>
      <c r="G277" s="59"/>
      <c r="H277" s="59"/>
      <c r="I277" s="59"/>
      <c r="J277" s="59"/>
    </row>
    <row r="278" spans="1:10" x14ac:dyDescent="0.25">
      <c r="A278" s="59"/>
      <c r="B278" s="59"/>
      <c r="C278" s="59"/>
      <c r="D278" s="59"/>
      <c r="E278" s="59"/>
      <c r="F278" s="59"/>
      <c r="G278" s="59"/>
      <c r="H278" s="59"/>
      <c r="I278" s="59"/>
      <c r="J278" s="59"/>
    </row>
    <row r="279" spans="1:10" x14ac:dyDescent="0.25">
      <c r="A279" s="59"/>
      <c r="B279" s="59"/>
      <c r="C279" s="59"/>
      <c r="D279" s="59"/>
      <c r="E279" s="59"/>
      <c r="F279" s="59"/>
      <c r="G279" s="59"/>
      <c r="H279" s="59"/>
      <c r="I279" s="59"/>
      <c r="J279" s="59"/>
    </row>
    <row r="280" spans="1:10" x14ac:dyDescent="0.25">
      <c r="A280" s="59"/>
      <c r="B280" s="59"/>
      <c r="C280" s="59"/>
      <c r="D280" s="59"/>
      <c r="E280" s="59"/>
      <c r="F280" s="59"/>
      <c r="G280" s="59"/>
      <c r="H280" s="59"/>
      <c r="I280" s="59"/>
      <c r="J280" s="59"/>
    </row>
    <row r="281" spans="1:10" x14ac:dyDescent="0.25">
      <c r="A281" s="59"/>
      <c r="B281" s="59"/>
      <c r="C281" s="59"/>
      <c r="D281" s="59"/>
      <c r="E281" s="59"/>
      <c r="F281" s="59"/>
      <c r="G281" s="59"/>
      <c r="H281" s="59"/>
      <c r="I281" s="59"/>
      <c r="J281" s="59"/>
    </row>
    <row r="282" spans="1:10" x14ac:dyDescent="0.25">
      <c r="A282" s="59"/>
      <c r="B282" s="59"/>
      <c r="C282" s="59"/>
      <c r="D282" s="59"/>
      <c r="E282" s="59"/>
      <c r="F282" s="59"/>
      <c r="G282" s="59"/>
      <c r="H282" s="59"/>
      <c r="I282" s="59"/>
      <c r="J282" s="59"/>
    </row>
    <row r="283" spans="1:10" x14ac:dyDescent="0.25">
      <c r="A283" s="59"/>
      <c r="B283" s="59"/>
      <c r="C283" s="59"/>
      <c r="D283" s="59"/>
      <c r="E283" s="59"/>
      <c r="F283" s="59"/>
      <c r="G283" s="59"/>
      <c r="H283" s="59"/>
      <c r="I283" s="59"/>
      <c r="J283" s="59"/>
    </row>
    <row r="284" spans="1:10" x14ac:dyDescent="0.25">
      <c r="A284" s="59"/>
      <c r="B284" s="59"/>
      <c r="C284" s="59"/>
      <c r="D284" s="59"/>
      <c r="E284" s="59"/>
      <c r="F284" s="59"/>
      <c r="G284" s="59"/>
      <c r="H284" s="59"/>
      <c r="I284" s="59"/>
      <c r="J284" s="59"/>
    </row>
    <row r="285" spans="1:10" x14ac:dyDescent="0.25">
      <c r="A285" s="59"/>
      <c r="B285" s="59"/>
      <c r="C285" s="59"/>
      <c r="D285" s="59"/>
      <c r="E285" s="59"/>
      <c r="F285" s="59"/>
      <c r="G285" s="59"/>
      <c r="H285" s="59"/>
      <c r="I285" s="59"/>
      <c r="J285" s="59"/>
    </row>
    <row r="286" spans="1:10" x14ac:dyDescent="0.25">
      <c r="A286" s="59"/>
      <c r="B286" s="59"/>
      <c r="C286" s="59"/>
      <c r="D286" s="59"/>
      <c r="E286" s="59"/>
      <c r="F286" s="59"/>
      <c r="G286" s="59"/>
      <c r="H286" s="59"/>
      <c r="I286" s="59"/>
      <c r="J286" s="59"/>
    </row>
    <row r="287" spans="1:10" x14ac:dyDescent="0.25">
      <c r="A287" s="59"/>
      <c r="B287" s="59"/>
      <c r="C287" s="59"/>
      <c r="D287" s="59"/>
      <c r="E287" s="59"/>
      <c r="F287" s="59"/>
      <c r="G287" s="59"/>
      <c r="H287" s="59"/>
      <c r="I287" s="59"/>
      <c r="J287" s="59"/>
    </row>
    <row r="288" spans="1:10" x14ac:dyDescent="0.25">
      <c r="A288" s="59"/>
      <c r="B288" s="59"/>
      <c r="C288" s="59"/>
      <c r="D288" s="59"/>
      <c r="E288" s="59"/>
      <c r="F288" s="59"/>
      <c r="G288" s="59"/>
      <c r="H288" s="59"/>
      <c r="I288" s="59"/>
      <c r="J288" s="59"/>
    </row>
    <row r="289" spans="1:10" x14ac:dyDescent="0.25">
      <c r="A289" s="59"/>
      <c r="B289" s="59"/>
      <c r="C289" s="59"/>
      <c r="D289" s="59"/>
      <c r="E289" s="59"/>
      <c r="F289" s="59"/>
      <c r="G289" s="59"/>
      <c r="H289" s="59"/>
      <c r="I289" s="59"/>
      <c r="J289" s="59"/>
    </row>
    <row r="290" spans="1:10" x14ac:dyDescent="0.25">
      <c r="A290" s="59"/>
      <c r="B290" s="59"/>
      <c r="C290" s="59"/>
      <c r="D290" s="59"/>
      <c r="E290" s="59"/>
      <c r="F290" s="59"/>
      <c r="G290" s="59"/>
      <c r="H290" s="59"/>
      <c r="I290" s="59"/>
      <c r="J290" s="59"/>
    </row>
    <row r="291" spans="1:10" x14ac:dyDescent="0.25">
      <c r="A291" s="59"/>
      <c r="B291" s="59"/>
      <c r="C291" s="59"/>
      <c r="D291" s="59"/>
      <c r="E291" s="59"/>
      <c r="F291" s="59"/>
      <c r="G291" s="59"/>
      <c r="H291" s="59"/>
      <c r="I291" s="59"/>
      <c r="J291" s="59"/>
    </row>
    <row r="292" spans="1:10" x14ac:dyDescent="0.25">
      <c r="A292" s="59"/>
      <c r="B292" s="59"/>
      <c r="C292" s="59"/>
      <c r="D292" s="59"/>
      <c r="E292" s="59"/>
      <c r="F292" s="59"/>
      <c r="G292" s="59"/>
      <c r="H292" s="59"/>
      <c r="I292" s="59"/>
      <c r="J292" s="59"/>
    </row>
    <row r="293" spans="1:10" x14ac:dyDescent="0.25">
      <c r="A293" s="59"/>
      <c r="B293" s="59"/>
      <c r="C293" s="59"/>
      <c r="D293" s="59"/>
      <c r="E293" s="59"/>
      <c r="F293" s="59"/>
      <c r="G293" s="59"/>
      <c r="H293" s="59"/>
      <c r="I293" s="59"/>
      <c r="J293" s="59"/>
    </row>
    <row r="294" spans="1:10" x14ac:dyDescent="0.25">
      <c r="A294" s="59"/>
      <c r="B294" s="59"/>
      <c r="C294" s="59"/>
      <c r="D294" s="59"/>
      <c r="E294" s="59"/>
      <c r="F294" s="59"/>
      <c r="G294" s="59"/>
      <c r="H294" s="59"/>
      <c r="I294" s="59"/>
      <c r="J294" s="59"/>
    </row>
    <row r="295" spans="1:10" x14ac:dyDescent="0.25">
      <c r="A295" s="59"/>
      <c r="B295" s="59"/>
      <c r="C295" s="59"/>
      <c r="D295" s="59"/>
      <c r="E295" s="59"/>
      <c r="F295" s="59"/>
      <c r="G295" s="59"/>
      <c r="H295" s="59"/>
      <c r="I295" s="59"/>
      <c r="J295" s="59"/>
    </row>
    <row r="296" spans="1:10" x14ac:dyDescent="0.25">
      <c r="A296" s="59"/>
      <c r="B296" s="59"/>
      <c r="C296" s="59"/>
      <c r="D296" s="59"/>
      <c r="E296" s="59"/>
      <c r="F296" s="59"/>
      <c r="G296" s="59"/>
      <c r="H296" s="59"/>
      <c r="I296" s="59"/>
      <c r="J296" s="59"/>
    </row>
    <row r="297" spans="1:10" x14ac:dyDescent="0.25">
      <c r="A297" s="59"/>
      <c r="B297" s="59"/>
      <c r="C297" s="59"/>
      <c r="D297" s="59"/>
      <c r="E297" s="59"/>
      <c r="F297" s="59"/>
      <c r="G297" s="59"/>
      <c r="H297" s="59"/>
      <c r="I297" s="59"/>
      <c r="J297" s="59"/>
    </row>
    <row r="298" spans="1:10" x14ac:dyDescent="0.25">
      <c r="A298" s="59"/>
      <c r="B298" s="59"/>
      <c r="C298" s="59"/>
      <c r="D298" s="59"/>
      <c r="E298" s="59"/>
      <c r="F298" s="59"/>
      <c r="G298" s="59"/>
      <c r="H298" s="59"/>
      <c r="I298" s="59"/>
      <c r="J298" s="59"/>
    </row>
    <row r="299" spans="1:10" x14ac:dyDescent="0.25">
      <c r="A299" s="59"/>
      <c r="B299" s="59"/>
      <c r="C299" s="59"/>
      <c r="D299" s="59"/>
      <c r="E299" s="59"/>
      <c r="F299" s="59"/>
      <c r="G299" s="59"/>
      <c r="H299" s="59"/>
      <c r="I299" s="59"/>
      <c r="J299" s="59"/>
    </row>
    <row r="300" spans="1:10" x14ac:dyDescent="0.25">
      <c r="A300" s="59"/>
      <c r="B300" s="59"/>
      <c r="C300" s="59"/>
      <c r="D300" s="59"/>
      <c r="E300" s="59"/>
      <c r="F300" s="59"/>
      <c r="G300" s="59"/>
      <c r="H300" s="59"/>
      <c r="I300" s="59"/>
      <c r="J300" s="59"/>
    </row>
    <row r="301" spans="1:10" x14ac:dyDescent="0.25">
      <c r="A301" s="59"/>
      <c r="B301" s="59"/>
      <c r="C301" s="59"/>
      <c r="D301" s="59"/>
      <c r="E301" s="59"/>
      <c r="F301" s="59"/>
      <c r="G301" s="59"/>
      <c r="H301" s="59"/>
      <c r="I301" s="59"/>
      <c r="J301" s="59"/>
    </row>
    <row r="302" spans="1:10" x14ac:dyDescent="0.25">
      <c r="A302" s="59"/>
      <c r="B302" s="59"/>
      <c r="C302" s="59"/>
      <c r="D302" s="59"/>
      <c r="E302" s="59"/>
      <c r="F302" s="59"/>
      <c r="G302" s="59"/>
      <c r="H302" s="59"/>
      <c r="I302" s="59"/>
      <c r="J302" s="59"/>
    </row>
    <row r="303" spans="1:10" x14ac:dyDescent="0.25">
      <c r="A303" s="59"/>
      <c r="B303" s="59"/>
      <c r="C303" s="59"/>
      <c r="D303" s="59"/>
      <c r="E303" s="59"/>
      <c r="F303" s="59"/>
      <c r="G303" s="59"/>
      <c r="H303" s="59"/>
      <c r="I303" s="59"/>
      <c r="J303" s="59"/>
    </row>
    <row r="304" spans="1:10" x14ac:dyDescent="0.25">
      <c r="A304" s="59"/>
      <c r="B304" s="59"/>
      <c r="C304" s="59"/>
      <c r="D304" s="59"/>
      <c r="E304" s="59"/>
      <c r="F304" s="59"/>
      <c r="G304" s="59"/>
      <c r="H304" s="59"/>
      <c r="I304" s="59"/>
      <c r="J304" s="59"/>
    </row>
    <row r="305" spans="1:10" x14ac:dyDescent="0.25">
      <c r="A305" s="59"/>
      <c r="B305" s="59"/>
      <c r="C305" s="59"/>
      <c r="D305" s="59"/>
      <c r="E305" s="59"/>
      <c r="F305" s="59"/>
      <c r="G305" s="59"/>
      <c r="H305" s="59"/>
      <c r="I305" s="59"/>
      <c r="J305" s="59"/>
    </row>
    <row r="306" spans="1:10" x14ac:dyDescent="0.25">
      <c r="A306" s="59"/>
      <c r="B306" s="59"/>
      <c r="C306" s="59"/>
      <c r="D306" s="59"/>
      <c r="E306" s="59"/>
      <c r="F306" s="59"/>
      <c r="G306" s="59"/>
      <c r="H306" s="59"/>
      <c r="I306" s="59"/>
      <c r="J306" s="59"/>
    </row>
    <row r="307" spans="1:10" x14ac:dyDescent="0.25">
      <c r="A307" s="59"/>
      <c r="B307" s="59"/>
      <c r="C307" s="59"/>
      <c r="D307" s="59"/>
      <c r="E307" s="59"/>
      <c r="F307" s="59"/>
      <c r="G307" s="59"/>
      <c r="H307" s="59"/>
      <c r="I307" s="59"/>
      <c r="J307" s="59"/>
    </row>
    <row r="308" spans="1:10" x14ac:dyDescent="0.25">
      <c r="A308" s="59"/>
      <c r="B308" s="59"/>
      <c r="C308" s="59"/>
      <c r="D308" s="59"/>
      <c r="E308" s="59"/>
      <c r="F308" s="59"/>
      <c r="G308" s="59"/>
      <c r="H308" s="59"/>
      <c r="I308" s="59"/>
      <c r="J308" s="59"/>
    </row>
    <row r="309" spans="1:10" x14ac:dyDescent="0.25">
      <c r="A309" s="59"/>
      <c r="B309" s="59"/>
      <c r="C309" s="59"/>
      <c r="D309" s="59"/>
      <c r="E309" s="59"/>
      <c r="F309" s="59"/>
      <c r="G309" s="59"/>
      <c r="H309" s="59"/>
      <c r="I309" s="59"/>
      <c r="J309" s="59"/>
    </row>
    <row r="310" spans="1:10" ht="12.75" customHeight="1" x14ac:dyDescent="0.25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</row>
    <row r="311" spans="1:10" ht="12.75" customHeight="1" x14ac:dyDescent="0.25">
      <c r="C311" s="202"/>
      <c r="D311" s="202"/>
    </row>
  </sheetData>
  <sheetProtection selectLockedCells="1" selectUnlockedCells="1"/>
  <mergeCells count="20">
    <mergeCell ref="A12:J12"/>
    <mergeCell ref="A1:J1"/>
    <mergeCell ref="A2:J2"/>
    <mergeCell ref="A3:J3"/>
    <mergeCell ref="A4:J4"/>
    <mergeCell ref="A5:J5"/>
    <mergeCell ref="I9:J9"/>
    <mergeCell ref="I10:J10"/>
    <mergeCell ref="B9:C9"/>
    <mergeCell ref="B10:C10"/>
    <mergeCell ref="A8:J8"/>
    <mergeCell ref="A7:J7"/>
    <mergeCell ref="A123:A124"/>
    <mergeCell ref="A310:J310"/>
    <mergeCell ref="C311:D311"/>
    <mergeCell ref="D16:J17"/>
    <mergeCell ref="A45:J45"/>
    <mergeCell ref="A107:J108"/>
    <mergeCell ref="A113:A114"/>
    <mergeCell ref="A118:A119"/>
  </mergeCells>
  <printOptions horizontalCentered="1"/>
  <pageMargins left="0.52" right="0.4" top="0.56000000000000005" bottom="0.28000000000000003" header="0.2" footer="0.15"/>
  <pageSetup paperSize="9" scale="78" fitToHeight="0" orientation="portrait" horizontalDpi="300" r:id="rId1"/>
  <headerFooter>
    <oddHeader>&amp;R&amp;"Arial"&amp;11&amp;K000000INTERNAL</oddHeader>
  </headerFooter>
  <rowBreaks count="4" manualBreakCount="4">
    <brk id="74" max="9" man="1"/>
    <brk id="134" max="9" man="1"/>
    <brk id="211" max="9" man="1"/>
    <brk id="288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loWorkspaceDocumentType xmlns="f53aa160-cfa8-48d8-94f3-708ca6745610" xsi:nil="true"/>
    <TaxCatchAll xmlns="f53aa160-cfa8-48d8-94f3-708ca6745610" xsi:nil="true"/>
    <ValoWorkspaceOwner xmlns="f53aa160-cfa8-48d8-94f3-708ca6745610">
      <UserInfo>
        <DisplayName/>
        <AccountId xsi:nil="true"/>
        <AccountType/>
      </UserInfo>
    </ValoWorkspaceOwner>
    <ValoWorkspaceConfidentiality xmlns="f53aa160-cfa8-48d8-94f3-708ca6745610">Not yet public</ValoWorkspaceConfidentiality>
    <TaxKeywordTaxHTField xmlns="f53aa160-cfa8-48d8-94f3-708ca6745610">
      <Terms xmlns="http://schemas.microsoft.com/office/infopath/2007/PartnerControls"/>
    </TaxKeywordTaxHTField>
    <ValoWorkspaceDocumentLanguage xmlns="f53aa160-cfa8-48d8-94f3-708ca6745610">English</ValoWorkspaceDocumentLanguage>
    <ValoWorkspacePreservationTime xmlns="f53aa160-cfa8-48d8-94f3-708ca6745610">5 Years</ValoWorkspacePreservationTime>
    <lcf76f155ced4ddcb4097134ff3c332f xmlns="052baaeb-5b6a-45ea-8dff-f5659fad491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ValoWorkspaceDocument" ma:contentTypeID="0x010100D97B88E924714D2BA8DA46FB397A5DA80000255DB6B69C0B439555269FE61D7335" ma:contentTypeVersion="23" ma:contentTypeDescription="Create a new document." ma:contentTypeScope="" ma:versionID="c64007243d4bcc7624c319ee970677fc">
  <xsd:schema xmlns:xsd="http://www.w3.org/2001/XMLSchema" xmlns:xs="http://www.w3.org/2001/XMLSchema" xmlns:p="http://schemas.microsoft.com/office/2006/metadata/properties" xmlns:ns2="f53aa160-cfa8-48d8-94f3-708ca6745610" xmlns:ns3="052baaeb-5b6a-45ea-8dff-f5659fad491f" targetNamespace="http://schemas.microsoft.com/office/2006/metadata/properties" ma:root="true" ma:fieldsID="9608fc8cbdd527c41750090d94eedafe" ns2:_="" ns3:_="">
    <xsd:import namespace="f53aa160-cfa8-48d8-94f3-708ca6745610"/>
    <xsd:import namespace="052baaeb-5b6a-45ea-8dff-f5659fad491f"/>
    <xsd:element name="properties">
      <xsd:complexType>
        <xsd:sequence>
          <xsd:element name="documentManagement">
            <xsd:complexType>
              <xsd:all>
                <xsd:element ref="ns2:ValoWorkspaceDocumentLanguage" minOccurs="0"/>
                <xsd:element ref="ns2:ValoWorkspaceOwner" minOccurs="0"/>
                <xsd:element ref="ns2:ValoWorkspaceDocumentType" minOccurs="0"/>
                <xsd:element ref="ns2:ValoWorkspaceConfidentiality" minOccurs="0"/>
                <xsd:element ref="ns2:ValoWorkspacePreservationTime" minOccurs="0"/>
                <xsd:element ref="ns2:TaxKeywordTaxHTField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aa160-cfa8-48d8-94f3-708ca6745610" elementFormDefault="qualified">
    <xsd:import namespace="http://schemas.microsoft.com/office/2006/documentManagement/types"/>
    <xsd:import namespace="http://schemas.microsoft.com/office/infopath/2007/PartnerControls"/>
    <xsd:element name="ValoWorkspaceDocumentLanguage" ma:index="8" nillable="true" ma:displayName="Language" ma:default="English" ma:description="" ma:internalName="ValoWorkspaceDocumentLanguage">
      <xsd:simpleType>
        <xsd:restriction base="dms:Choice">
          <xsd:enumeration value="Dutch"/>
          <xsd:enumeration value="English"/>
          <xsd:enumeration value="Finnish"/>
          <xsd:enumeration value="Spanish"/>
          <xsd:enumeration value="Swedish"/>
        </xsd:restriction>
      </xsd:simpleType>
    </xsd:element>
    <xsd:element name="ValoWorkspaceOwner" ma:index="9" nillable="true" ma:displayName="Owner" ma:list="UserInfo" ma:SharePointGroup="0" ma:internalName="ValoWorkspace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aloWorkspaceDocumentType" ma:index="10" nillable="true" ma:displayName="Document type" ma:internalName="ValoWorkspaceDocumentType">
      <xsd:simpleType>
        <xsd:restriction base="dms:Choice">
          <xsd:enumeration value="Presentation"/>
          <xsd:enumeration value="Guideline"/>
          <xsd:enumeration value="Form"/>
          <xsd:enumeration value="Proposal"/>
          <xsd:enumeration value="Memo"/>
          <xsd:enumeration value="Plan"/>
          <xsd:enumeration value="Report"/>
          <xsd:enumeration value="Contract"/>
        </xsd:restriction>
      </xsd:simpleType>
    </xsd:element>
    <xsd:element name="ValoWorkspaceConfidentiality" ma:index="11" nillable="true" ma:displayName="Confidentiality" ma:default="Not yet public" ma:internalName="ValoWorkspaceConfidentiality" ma:readOnly="false">
      <xsd:simpleType>
        <xsd:restriction base="dms:Choice">
          <xsd:enumeration value="Confidential"/>
          <xsd:enumeration value="Public"/>
          <xsd:enumeration value="Not yet public"/>
        </xsd:restriction>
      </xsd:simpleType>
    </xsd:element>
    <xsd:element name="ValoWorkspacePreservationTime" ma:index="12" nillable="true" ma:displayName="Preservation time" ma:default="5 Years" ma:internalName="ValoWorkspacePreservationTime" ma:readOnly="false">
      <xsd:simpleType>
        <xsd:restriction base="dms:Choice">
          <xsd:enumeration value="1 Year"/>
          <xsd:enumeration value="5 Years"/>
          <xsd:enumeration value="10 Years"/>
          <xsd:enumeration value="Always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6463a0fa-cc7c-4ac4-8f60-273c1f795579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f7e56f18-184e-4290-a6af-46f061f44908}" ma:internalName="TaxCatchAll" ma:showField="CatchAllData" ma:web="f53aa160-cfa8-48d8-94f3-708ca6745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f7e56f18-184e-4290-a6af-46f061f44908}" ma:internalName="TaxCatchAllLabel" ma:readOnly="true" ma:showField="CatchAllDataLabel" ma:web="f53aa160-cfa8-48d8-94f3-708ca6745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baaeb-5b6a-45ea-8dff-f5659fad49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463a0fa-cc7c-4ac4-8f60-273c1f795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3581F6-93F1-40EA-8489-5AA56A0C9D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5092E5-C09A-4A1B-8122-AE46E2FA6905}">
  <ds:schemaRefs>
    <ds:schemaRef ds:uri="http://schemas.microsoft.com/office/2006/metadata/properties"/>
    <ds:schemaRef ds:uri="http://schemas.microsoft.com/office/infopath/2007/PartnerControls"/>
    <ds:schemaRef ds:uri="f53aa160-cfa8-48d8-94f3-708ca6745610"/>
    <ds:schemaRef ds:uri="052baaeb-5b6a-45ea-8dff-f5659fad491f"/>
  </ds:schemaRefs>
</ds:datastoreItem>
</file>

<file path=customXml/itemProps3.xml><?xml version="1.0" encoding="utf-8"?>
<ds:datastoreItem xmlns:ds="http://schemas.openxmlformats.org/officeDocument/2006/customXml" ds:itemID="{F0BF3BBF-36A3-40BA-BDE5-D4C0B34D2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aa160-cfa8-48d8-94f3-708ca6745610"/>
    <ds:schemaRef ds:uri="052baaeb-5b6a-45ea-8dff-f5659fad49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32</vt:i4>
      </vt:variant>
    </vt:vector>
  </HeadingPairs>
  <TitlesOfParts>
    <vt:vector size="65" baseType="lpstr">
      <vt:lpstr>seg (1)</vt:lpstr>
      <vt:lpstr>ter (1)</vt:lpstr>
      <vt:lpstr>qua (1)</vt:lpstr>
      <vt:lpstr>qui (1)</vt:lpstr>
      <vt:lpstr>sex (1)</vt:lpstr>
      <vt:lpstr>sab (1)</vt:lpstr>
      <vt:lpstr>seg (2)</vt:lpstr>
      <vt:lpstr>ter (2)</vt:lpstr>
      <vt:lpstr>qua (2)</vt:lpstr>
      <vt:lpstr>qui (2)</vt:lpstr>
      <vt:lpstr>sex (2)</vt:lpstr>
      <vt:lpstr>sab (2)</vt:lpstr>
      <vt:lpstr>seg (3)</vt:lpstr>
      <vt:lpstr>ter (3)</vt:lpstr>
      <vt:lpstr>qua (3)</vt:lpstr>
      <vt:lpstr>qui (3)</vt:lpstr>
      <vt:lpstr>sex (3)</vt:lpstr>
      <vt:lpstr>sab (3)</vt:lpstr>
      <vt:lpstr>seg (4)</vt:lpstr>
      <vt:lpstr>ter (4)</vt:lpstr>
      <vt:lpstr>qua (4)</vt:lpstr>
      <vt:lpstr>qui (4)</vt:lpstr>
      <vt:lpstr>sex (4)</vt:lpstr>
      <vt:lpstr>sab (4)</vt:lpstr>
      <vt:lpstr>seg (5)</vt:lpstr>
      <vt:lpstr>ter (5)</vt:lpstr>
      <vt:lpstr>qua (5)</vt:lpstr>
      <vt:lpstr>qui (5)</vt:lpstr>
      <vt:lpstr>sex (5)</vt:lpstr>
      <vt:lpstr>sab (5)</vt:lpstr>
      <vt:lpstr>Dados</vt:lpstr>
      <vt:lpstr>Dados Relatório Mensal</vt:lpstr>
      <vt:lpstr>Relatório IPF</vt:lpstr>
      <vt:lpstr>'Dados Relatório Mensal'!Area_de_impressao</vt:lpstr>
      <vt:lpstr>'qua (1)'!Area_de_impressao</vt:lpstr>
      <vt:lpstr>'qua (2)'!Area_de_impressao</vt:lpstr>
      <vt:lpstr>'qua (3)'!Area_de_impressao</vt:lpstr>
      <vt:lpstr>'qua (4)'!Area_de_impressao</vt:lpstr>
      <vt:lpstr>'qua (5)'!Area_de_impressao</vt:lpstr>
      <vt:lpstr>'qui (1)'!Area_de_impressao</vt:lpstr>
      <vt:lpstr>'qui (2)'!Area_de_impressao</vt:lpstr>
      <vt:lpstr>'qui (3)'!Area_de_impressao</vt:lpstr>
      <vt:lpstr>'qui (4)'!Area_de_impressao</vt:lpstr>
      <vt:lpstr>'qui (5)'!Area_de_impressao</vt:lpstr>
      <vt:lpstr>'Relatório IPF'!Area_de_impressao</vt:lpstr>
      <vt:lpstr>'sab (1)'!Area_de_impressao</vt:lpstr>
      <vt:lpstr>'sab (2)'!Area_de_impressao</vt:lpstr>
      <vt:lpstr>'sab (3)'!Area_de_impressao</vt:lpstr>
      <vt:lpstr>'sab (4)'!Area_de_impressao</vt:lpstr>
      <vt:lpstr>'sab (5)'!Area_de_impressao</vt:lpstr>
      <vt:lpstr>'seg (1)'!Area_de_impressao</vt:lpstr>
      <vt:lpstr>'seg (2)'!Area_de_impressao</vt:lpstr>
      <vt:lpstr>'seg (3)'!Area_de_impressao</vt:lpstr>
      <vt:lpstr>'seg (4)'!Area_de_impressao</vt:lpstr>
      <vt:lpstr>'seg (5)'!Area_de_impressao</vt:lpstr>
      <vt:lpstr>'sex (1)'!Area_de_impressao</vt:lpstr>
      <vt:lpstr>'sex (2)'!Area_de_impressao</vt:lpstr>
      <vt:lpstr>'sex (3)'!Area_de_impressao</vt:lpstr>
      <vt:lpstr>'sex (4)'!Area_de_impressao</vt:lpstr>
      <vt:lpstr>'sex (5)'!Area_de_impressao</vt:lpstr>
      <vt:lpstr>'ter (1)'!Area_de_impressao</vt:lpstr>
      <vt:lpstr>'ter (2)'!Area_de_impressao</vt:lpstr>
      <vt:lpstr>'ter (3)'!Area_de_impressao</vt:lpstr>
      <vt:lpstr>'ter (4)'!Area_de_impressao</vt:lpstr>
      <vt:lpstr>'ter (5)'!Area_de_impressao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Gomes</dc:creator>
  <cp:keywords/>
  <dc:description/>
  <cp:lastModifiedBy>Paulo Fraga</cp:lastModifiedBy>
  <cp:revision/>
  <cp:lastPrinted>2026-01-13T10:39:53Z</cp:lastPrinted>
  <dcterms:created xsi:type="dcterms:W3CDTF">2018-06-09T12:41:07Z</dcterms:created>
  <dcterms:modified xsi:type="dcterms:W3CDTF">2026-09-14T19:37:20Z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0x010100D97B88E924714D2BA8DA46FB397A5DA80000255DB6B69C0B439555269FE61D7335</vt:lpwstr>
  </property>
  <property fmtid="{D5CDD505-2E9C-101B-9397-08002B2CF9AE}" pid="3" name="TaxKeyword">
    <vt:lpwstr/>
  </property>
</Properties>
</file>